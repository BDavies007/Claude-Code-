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puts" sheetId="2" state="visible" r:id="rId2"/>
    <sheet name="Executive Dashboard" sheetId="3" state="visible" r:id="rId3"/>
    <sheet name="26 Week Roadmap" sheetId="4" state="visible" r:id="rId4"/>
    <sheet name="Daily Plan" sheetId="5" state="visible" r:id="rId5"/>
    <sheet name="Workout Briefs" sheetId="6" state="visible" r:id="rId6"/>
    <sheet name="Strength Progression" sheetId="7" state="visible" r:id="rId7"/>
    <sheet name="Cycling 80-20" sheetId="8" state="visible" r:id="rId8"/>
    <sheet name="Running 80-20" sheetId="9" state="visible" r:id="rId9"/>
    <sheet name="Hybrid System" sheetId="10" state="visible" r:id="rId10"/>
    <sheet name="Travel Playbook" sheetId="11" state="visible" r:id="rId11"/>
    <sheet name="Exercise Library" sheetId="12" state="visible" r:id="rId12"/>
    <sheet name="Daily Log" sheetId="13" state="visible" r:id="rId13"/>
    <sheet name="Weekly Coach Review" sheetId="14" state="visible" r:id="rId14"/>
    <sheet name="Claude Code Promp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d mmm yyyy"/>
    <numFmt numFmtId="166" formatCode="0.0"/>
    <numFmt numFmtId="167" formatCode="ddd dd mmm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3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i val="1"/>
      <color rgb="005D6D7E"/>
      <sz val="11"/>
    </font>
    <font>
      <name val="Calibri"/>
      <b val="1"/>
      <color rgb="001F3A5F"/>
      <sz val="12"/>
    </font>
  </fonts>
  <fills count="1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E4E"/>
      </patternFill>
    </fill>
    <fill>
      <patternFill patternType="solid">
        <fgColor rgb="00DCE6F1"/>
      </patternFill>
    </fill>
    <fill>
      <patternFill patternType="solid">
        <fgColor rgb="00D5E8D4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6D5F2"/>
      </patternFill>
    </fill>
    <fill>
      <patternFill patternType="solid">
        <fgColor rgb="00FFF7E0"/>
      </patternFill>
    </fill>
    <fill>
      <patternFill patternType="solid">
        <fgColor rgb="00F4F7FA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4B183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0" borderId="1" pivotButton="0" quotePrefix="0" xfId="0"/>
    <xf numFmtId="2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166" fontId="6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167" fontId="4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6" fillId="12" borderId="1" pivotButton="0" quotePrefix="0" xfId="0"/>
    <xf numFmtId="0" fontId="6" fillId="13" borderId="1" pivotButton="0" quotePrefix="0" xfId="0"/>
    <xf numFmtId="0" fontId="6" fillId="14" borderId="1" pivotButton="0" quotePrefix="0" xfId="0"/>
    <xf numFmtId="0" fontId="6" fillId="15" borderId="1" pivotButton="0" quotePrefix="0" xfId="0"/>
    <xf numFmtId="0" fontId="6" fillId="16" borderId="1" pivotButton="0" quotePrefix="0" xfId="0"/>
    <xf numFmtId="0" fontId="6" fillId="17" borderId="1" pivotButton="0" quotePrefix="0" xfId="0"/>
    <xf numFmtId="0" fontId="6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E6D5F2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H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30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PROJECT 85 — CEO ATHLETE SYSTEM</t>
        </is>
      </c>
    </row>
    <row r="2" ht="20" customHeight="1">
      <c r="A2" s="2" t="inlineStr">
        <is>
          <t>26-Week Hybrid Performance Build  •  Barrie 'Bdog' Davies  •  Start Mon 22 Jun 2026</t>
        </is>
      </c>
    </row>
    <row r="4" ht="24" customHeight="1">
      <c r="A4" s="3" t="inlineStr">
        <is>
          <t>MISSION</t>
        </is>
      </c>
    </row>
    <row r="5" ht="18" customHeight="1">
      <c r="B5" s="4" t="inlineStr">
        <is>
          <t>Become a CEO-grade hybrid athlete: leaner, stronger, and more aerobically powerful. Drop to 85kg while building muscle and tendon density, lift a 275W FTP, and run a sub-27 5km — all on a travel-proof system that survives a full gym, a hotel gym, or no gym at all. Train daily with varying intensity, recover deliberately, and compound small wins across a 26-week build: six 4-week waves, then a taper and a test week to lock in the gains.</t>
        </is>
      </c>
    </row>
    <row r="6"/>
    <row r="7"/>
    <row r="8" ht="24" customHeight="1">
      <c r="A8" s="3" t="inlineStr">
        <is>
          <t>BASELINE  →  TARGET</t>
        </is>
      </c>
    </row>
    <row r="9" ht="26" customHeight="1">
      <c r="A9" s="5" t="inlineStr"/>
      <c r="B9" s="5" t="inlineStr">
        <is>
          <t>Metric</t>
        </is>
      </c>
      <c r="C9" s="5" t="inlineStr">
        <is>
          <t>Baseline</t>
        </is>
      </c>
      <c r="D9" s="5" t="inlineStr">
        <is>
          <t>Target</t>
        </is>
      </c>
      <c r="E9" s="5" t="inlineStr">
        <is>
          <t>Window</t>
        </is>
      </c>
      <c r="F9" s="5" t="inlineStr"/>
      <c r="G9" s="5" t="inlineStr"/>
      <c r="H9" s="5" t="inlineStr"/>
    </row>
    <row r="10">
      <c r="B10" s="6" t="inlineStr">
        <is>
          <t>Body weight</t>
        </is>
      </c>
      <c r="C10" s="7" t="inlineStr">
        <is>
          <t>100 kg</t>
        </is>
      </c>
      <c r="D10" s="7" t="inlineStr">
        <is>
          <t>85 kg</t>
        </is>
      </c>
      <c r="E10" s="8" t="inlineStr">
        <is>
          <t>26 weeks</t>
        </is>
      </c>
      <c r="F10" s="9" t="n"/>
      <c r="G10" s="9" t="n"/>
      <c r="H10" s="9" t="n"/>
    </row>
    <row r="11">
      <c r="B11" s="6" t="inlineStr">
        <is>
          <t>FTP (cycling)</t>
        </is>
      </c>
      <c r="C11" s="7" t="inlineStr">
        <is>
          <t>215 W</t>
        </is>
      </c>
      <c r="D11" s="7" t="inlineStr">
        <is>
          <t>275 W</t>
        </is>
      </c>
      <c r="E11" s="8" t="inlineStr">
        <is>
          <t>26 weeks</t>
        </is>
      </c>
      <c r="F11" s="9" t="n"/>
      <c r="G11" s="9" t="n"/>
      <c r="H11" s="9" t="n"/>
    </row>
    <row r="12">
      <c r="B12" s="6" t="inlineStr">
        <is>
          <t>FTP / kg</t>
        </is>
      </c>
      <c r="C12" s="7" t="inlineStr">
        <is>
          <t>2.15 W/kg</t>
        </is>
      </c>
      <c r="D12" s="7" t="inlineStr">
        <is>
          <t>3.24 W/kg</t>
        </is>
      </c>
      <c r="E12" s="8" t="inlineStr">
        <is>
          <t>derived</t>
        </is>
      </c>
      <c r="F12" s="9" t="n"/>
      <c r="G12" s="9" t="n"/>
      <c r="H12" s="9" t="n"/>
    </row>
    <row r="13">
      <c r="B13" s="6" t="inlineStr">
        <is>
          <t>VO2 Max</t>
        </is>
      </c>
      <c r="C13" s="7" t="inlineStr">
        <is>
          <t>41</t>
        </is>
      </c>
      <c r="D13" s="7" t="inlineStr">
        <is>
          <t>50+</t>
        </is>
      </c>
      <c r="E13" s="8" t="inlineStr">
        <is>
          <t>26 weeks</t>
        </is>
      </c>
      <c r="F13" s="9" t="n"/>
      <c r="G13" s="9" t="n"/>
      <c r="H13" s="9" t="n"/>
    </row>
    <row r="14">
      <c r="B14" s="6" t="inlineStr">
        <is>
          <t>5 km run</t>
        </is>
      </c>
      <c r="C14" s="7" t="inlineStr">
        <is>
          <t>32:00</t>
        </is>
      </c>
      <c r="D14" s="7" t="inlineStr">
        <is>
          <t>25:00 - 27:00</t>
        </is>
      </c>
      <c r="E14" s="8" t="inlineStr">
        <is>
          <t>26 weeks</t>
        </is>
      </c>
      <c r="F14" s="9" t="n"/>
      <c r="G14" s="9" t="n"/>
      <c r="H14" s="9" t="n"/>
    </row>
    <row r="15">
      <c r="B15" s="6" t="inlineStr">
        <is>
          <t>Bench press</t>
        </is>
      </c>
      <c r="C15" s="7" t="inlineStr">
        <is>
          <t>105 kg</t>
        </is>
      </c>
      <c r="D15" s="7" t="inlineStr">
        <is>
          <t>Maintain 105 kg+</t>
        </is>
      </c>
      <c r="E15" s="8" t="inlineStr">
        <is>
          <t>ongoing</t>
        </is>
      </c>
      <c r="F15" s="9" t="n"/>
      <c r="G15" s="9" t="n"/>
      <c r="H15" s="9" t="n"/>
    </row>
    <row r="16">
      <c r="B16" s="6" t="inlineStr">
        <is>
          <t>Back squat</t>
        </is>
      </c>
      <c r="C16" s="7" t="inlineStr">
        <is>
          <t>140 kg</t>
        </is>
      </c>
      <c r="D16" s="7" t="inlineStr">
        <is>
          <t>Maintain 140 kg+</t>
        </is>
      </c>
      <c r="E16" s="8" t="inlineStr">
        <is>
          <t>ongoing</t>
        </is>
      </c>
      <c r="F16" s="9" t="n"/>
      <c r="G16" s="9" t="n"/>
      <c r="H16" s="9" t="n"/>
    </row>
    <row r="18" ht="24" customHeight="1">
      <c r="A18" s="3" t="inlineStr">
        <is>
          <t>HOW TO USE THIS WORKBOOK</t>
        </is>
      </c>
    </row>
    <row r="19" ht="16" customHeight="1">
      <c r="B19" s="4" t="inlineStr">
        <is>
          <t>1. Open the Inputs sheet and confirm your baseline numbers and targets. Everything downstream reads from here.</t>
        </is>
      </c>
    </row>
    <row r="20" ht="16" customHeight="1">
      <c r="B20" s="4" t="inlineStr">
        <is>
          <t>2. Check the Executive Dashboard each Monday for your live KPIs and where you stand vs target.</t>
        </is>
      </c>
    </row>
    <row r="21" ht="16" customHeight="1">
      <c r="B21" s="4" t="inlineStr">
        <is>
          <t>3. Follow the Daily Plan — one row per day for 182 days (26 weeks). Each row tells you exactly what to train.</t>
        </is>
      </c>
    </row>
    <row r="22" ht="16" customHeight="1">
      <c r="B22" s="4" t="inlineStr">
        <is>
          <t>4. Log every session in the Daily Log: mark Completed (Yes / No / Partial / Travel Alt) and your RPE.</t>
        </is>
      </c>
    </row>
    <row r="23" ht="16" customHeight="1">
      <c r="B23" s="4" t="inlineStr">
        <is>
          <t>5. Travelling? Use the Travel Playbook and the Travel Alternative column for hotel-gym or no-gym swaps.</t>
        </is>
      </c>
    </row>
    <row r="24" ht="16" customHeight="1">
      <c r="B24" s="4" t="inlineStr">
        <is>
          <t>6. Every Sunday, fill the Weekly Coach Review to capture KPIs, compliance, and next-week adjustments.</t>
        </is>
      </c>
    </row>
    <row r="25" ht="16" customHeight="1">
      <c r="B25" s="4" t="inlineStr">
        <is>
          <t>7. Reference sheets (Workout Briefs, Cycling 80-20, Running 80-20, Hybrid, Exercise Library) explain the why.</t>
        </is>
      </c>
    </row>
    <row r="26" ht="16" customHeight="1">
      <c r="B26" s="4" t="inlineStr">
        <is>
          <t>8. Yellow cells are editable inputs. Coloured cells (intensity / compliance / recovery) are auto-formatted.</t>
        </is>
      </c>
    </row>
    <row r="28" ht="24" customHeight="1">
      <c r="A28" s="3" t="inlineStr">
        <is>
          <t>STRUCTURE — 4-WEEK WAVE x6, THEN TAPER &amp; TEST (26 WEEKS)</t>
        </is>
      </c>
    </row>
    <row r="29" ht="26" customHeight="1">
      <c r="A29" s="5" t="inlineStr"/>
      <c r="B29" s="5" t="inlineStr">
        <is>
          <t>Week</t>
        </is>
      </c>
      <c r="C29" s="5" t="inlineStr">
        <is>
          <t>Phase</t>
        </is>
      </c>
      <c r="D29" s="5" t="inlineStr">
        <is>
          <t>Strength</t>
        </is>
      </c>
      <c r="E29" s="5" t="inlineStr">
        <is>
          <t>Endurance</t>
        </is>
      </c>
      <c r="F29" s="5" t="inlineStr">
        <is>
          <t>RPE Cap</t>
        </is>
      </c>
      <c r="G29" s="5" t="inlineStr"/>
      <c r="H29" s="5" t="inlineStr"/>
    </row>
    <row r="30" ht="40" customHeight="1">
      <c r="B30" s="6" t="inlineStr">
        <is>
          <t>Wk 1 (x6)</t>
        </is>
      </c>
      <c r="C30" s="10" t="inlineStr">
        <is>
          <t>Accumulation</t>
        </is>
      </c>
      <c r="D30" s="7" t="inlineStr">
        <is>
          <t>High volume base. Lock technique. 2-3 reps in reserve on all lifts.</t>
        </is>
      </c>
      <c r="E30" s="7" t="inlineStr">
        <is>
          <t>Build aerobic base. 80% easy Zone 2, 20% quality.</t>
        </is>
      </c>
      <c r="F30" s="7" t="inlineStr">
        <is>
          <t>RPE 7 (2-3 RIR)</t>
        </is>
      </c>
      <c r="G30" s="9" t="n"/>
      <c r="H30" s="9" t="n"/>
    </row>
    <row r="31" ht="40" customHeight="1">
      <c r="B31" s="6" t="inlineStr">
        <is>
          <t>Wk 2 (x6)</t>
        </is>
      </c>
      <c r="C31" s="11" t="inlineStr">
        <is>
          <t>Progression</t>
        </is>
      </c>
      <c r="D31" s="7" t="inlineStr">
        <is>
          <t>Add one set, 1-2 reps, or small load wherever last week was completed.</t>
        </is>
      </c>
      <c r="E31" s="7" t="inlineStr">
        <is>
          <t>Extend easy volume; sharpen the 20% quality sessions.</t>
        </is>
      </c>
      <c r="F31" s="7" t="inlineStr">
        <is>
          <t>RPE 7-8 (2 RIR)</t>
        </is>
      </c>
      <c r="G31" s="9" t="n"/>
      <c r="H31" s="9" t="n"/>
    </row>
    <row r="32" ht="40" customHeight="1">
      <c r="B32" s="6" t="inlineStr">
        <is>
          <t>Wk 3 (x6)</t>
        </is>
      </c>
      <c r="C32" s="12" t="inlineStr">
        <is>
          <t>Peak Volume</t>
        </is>
      </c>
      <c r="D32" s="7" t="inlineStr">
        <is>
          <t>Highest density / volume of the block. Cap effort at RPE 8.</t>
        </is>
      </c>
      <c r="E32" s="7" t="inlineStr">
        <is>
          <t>Peak endurance density; longest long ride &amp; run of the block.</t>
        </is>
      </c>
      <c r="F32" s="7" t="inlineStr">
        <is>
          <t>RPE 8 (1-2 RIR)</t>
        </is>
      </c>
      <c r="G32" s="9" t="n"/>
      <c r="H32" s="9" t="n"/>
    </row>
    <row r="33" ht="40" customHeight="1">
      <c r="B33" s="6" t="inlineStr">
        <is>
          <t>Wk 4 (x6)</t>
        </is>
      </c>
      <c r="C33" s="13" t="inlineStr">
        <is>
          <t>Deload</t>
        </is>
      </c>
      <c r="D33" s="7" t="inlineStr">
        <is>
          <t>Cut strength volume ~40%. Keep movement quality high. Recover tissue.</t>
        </is>
      </c>
      <c r="E33" s="7" t="inlineStr">
        <is>
          <t>Reduce endurance volume 40-50%. Short, sharp, fresh.</t>
        </is>
      </c>
      <c r="F33" s="7" t="inlineStr">
        <is>
          <t>RPE 5-6 (deload)</t>
        </is>
      </c>
      <c r="G33" s="9" t="n"/>
      <c r="H33" s="9" t="n"/>
    </row>
    <row r="34" ht="40" customHeight="1">
      <c r="B34" s="6" t="inlineStr">
        <is>
          <t>Week 25</t>
        </is>
      </c>
      <c r="C34" s="14" t="inlineStr">
        <is>
          <t>Taper</t>
        </is>
      </c>
      <c r="D34" s="7" t="inlineStr">
        <is>
          <t>Taper: cut strength volume ~30%, keep some intensity. Prime the nervous system; stay sharp &amp; fresh.</t>
        </is>
      </c>
      <c r="E34" s="7" t="inlineStr">
        <is>
          <t>Sharpen: short race-pace touches, big drop in easy volume, full freshness for testing.</t>
        </is>
      </c>
      <c r="F34" s="7" t="inlineStr">
        <is>
          <t>RPE 6-7 (sharpen)</t>
        </is>
      </c>
      <c r="G34" s="9" t="n"/>
      <c r="H34" s="9" t="n"/>
    </row>
    <row r="35" ht="40" customHeight="1">
      <c r="B35" s="6" t="inlineStr">
        <is>
          <t>Week 26</t>
        </is>
      </c>
      <c r="C35" s="15" t="inlineStr">
        <is>
          <t>Test &amp; Lock</t>
        </is>
      </c>
      <c r="D35" s="7" t="inlineStr">
        <is>
          <t>Test week: re-test bench &amp; squat (heavy triples), minimal accessory volume. Confirm strength held.</t>
        </is>
      </c>
      <c r="E35" s="7" t="inlineStr">
        <is>
          <t>Test: 20-min FTP test, 5km time-trial, VO2 check. Minimal filler, maximal readiness.</t>
        </is>
      </c>
      <c r="F35" s="7" t="inlineStr">
        <is>
          <t>Test efforts (max)</t>
        </is>
      </c>
      <c r="G35" s="9" t="n"/>
      <c r="H35" s="9" t="n"/>
    </row>
  </sheetData>
  <mergeCells count="15">
    <mergeCell ref="A18:H18"/>
    <mergeCell ref="A4:H4"/>
    <mergeCell ref="B22:H22"/>
    <mergeCell ref="B23:H23"/>
    <mergeCell ref="B26:H26"/>
    <mergeCell ref="B21:H21"/>
    <mergeCell ref="A2:H2"/>
    <mergeCell ref="B20:H20"/>
    <mergeCell ref="A28:H28"/>
    <mergeCell ref="B24:H24"/>
    <mergeCell ref="B25:H25"/>
    <mergeCell ref="A1:H1"/>
    <mergeCell ref="B19:H19"/>
    <mergeCell ref="A8:H8"/>
    <mergeCell ref="B5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7B"/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40" customWidth="1" min="5" max="5"/>
  </cols>
  <sheetData>
    <row r="1" ht="34" customHeight="1">
      <c r="A1" s="1" t="inlineStr">
        <is>
          <t>INPUTS</t>
        </is>
      </c>
    </row>
    <row r="2" ht="20" customHeight="1">
      <c r="A2" s="2" t="inlineStr">
        <is>
          <t>Edit the yellow cells. The whole workbook reads from here.</t>
        </is>
      </c>
    </row>
    <row r="4" ht="24" customHeight="1">
      <c r="A4" s="3" t="inlineStr">
        <is>
          <t>ATHLETE</t>
        </is>
      </c>
    </row>
    <row r="5" ht="26" customHeight="1">
      <c r="A5" s="5" t="inlineStr"/>
      <c r="B5" s="5" t="inlineStr">
        <is>
          <t>Variable</t>
        </is>
      </c>
      <c r="C5" s="5" t="inlineStr">
        <is>
          <t>Value</t>
        </is>
      </c>
      <c r="D5" s="5" t="inlineStr"/>
      <c r="E5" s="5" t="inlineStr">
        <is>
          <t>Note</t>
        </is>
      </c>
    </row>
    <row r="6">
      <c r="B6" s="6" t="inlineStr">
        <is>
          <t>Athlete name</t>
        </is>
      </c>
      <c r="C6" s="16" t="inlineStr">
        <is>
          <t>Barrie 'Bdog' Davies</t>
        </is>
      </c>
      <c r="D6" s="9" t="n"/>
      <c r="E6" s="8" t="inlineStr">
        <is>
          <t>Who we are building</t>
        </is>
      </c>
    </row>
    <row r="7">
      <c r="B7" s="6" t="inlineStr">
        <is>
          <t>Program start (Monday)</t>
        </is>
      </c>
      <c r="C7" s="17" t="n">
        <v>46195</v>
      </c>
      <c r="D7" s="9" t="n"/>
      <c r="E7" s="8" t="inlineStr">
        <is>
          <t>Day 1 of Week 1</t>
        </is>
      </c>
    </row>
    <row r="8">
      <c r="B8" s="6" t="inlineStr">
        <is>
          <t>Program length (weeks)</t>
        </is>
      </c>
      <c r="C8" s="16" t="n">
        <v>26</v>
      </c>
      <c r="D8" s="9" t="n"/>
      <c r="E8" s="8" t="inlineStr">
        <is>
          <t>6 x 4-week waves + taper + test</t>
        </is>
      </c>
    </row>
    <row r="9">
      <c r="B9" s="6" t="inlineStr">
        <is>
          <t>Training days / week</t>
        </is>
      </c>
      <c r="C9" s="16" t="n">
        <v>7</v>
      </c>
      <c r="D9" s="9" t="n"/>
      <c r="E9" s="8" t="inlineStr">
        <is>
          <t>Daily varying intensity</t>
        </is>
      </c>
    </row>
    <row r="11" ht="24" customHeight="1">
      <c r="A11" s="3" t="inlineStr">
        <is>
          <t>BASELINE  &amp;  TARGETS</t>
        </is>
      </c>
    </row>
    <row r="12" ht="26" customHeight="1">
      <c r="A12" s="5" t="inlineStr"/>
      <c r="B12" s="5" t="inlineStr">
        <is>
          <t>Metric</t>
        </is>
      </c>
      <c r="C12" s="5" t="inlineStr">
        <is>
          <t>Baseline</t>
        </is>
      </c>
      <c r="D12" s="5" t="inlineStr">
        <is>
          <t>Target</t>
        </is>
      </c>
      <c r="E12" s="5" t="inlineStr">
        <is>
          <t>Note</t>
        </is>
      </c>
    </row>
    <row r="13">
      <c r="B13" s="6" t="inlineStr">
        <is>
          <t>Body weight (kg)</t>
        </is>
      </c>
      <c r="C13" s="18" t="n">
        <v>100</v>
      </c>
      <c r="D13" s="18" t="n">
        <v>85</v>
      </c>
      <c r="E13" s="8" t="inlineStr">
        <is>
          <t>Fat loss + recomposition</t>
        </is>
      </c>
    </row>
    <row r="14">
      <c r="B14" s="6" t="inlineStr">
        <is>
          <t>FTP (W)</t>
        </is>
      </c>
      <c r="C14" s="18" t="n">
        <v>215</v>
      </c>
      <c r="D14" s="18" t="n">
        <v>275</v>
      </c>
      <c r="E14" s="8" t="inlineStr">
        <is>
          <t>+60W across the build</t>
        </is>
      </c>
    </row>
    <row r="15">
      <c r="B15" s="6" t="inlineStr">
        <is>
          <t>VO2 Max</t>
        </is>
      </c>
      <c r="C15" s="18" t="n">
        <v>41</v>
      </c>
      <c r="D15" s="18" t="n">
        <v>50</v>
      </c>
      <c r="E15" s="8" t="inlineStr">
        <is>
          <t>Target 50+</t>
        </is>
      </c>
    </row>
    <row r="16">
      <c r="B16" s="6" t="inlineStr">
        <is>
          <t>5km time (mm:ss)</t>
        </is>
      </c>
      <c r="C16" s="18" t="inlineStr">
        <is>
          <t>32:00</t>
        </is>
      </c>
      <c r="D16" s="18" t="inlineStr">
        <is>
          <t>26:00</t>
        </is>
      </c>
      <c r="E16" s="8" t="inlineStr">
        <is>
          <t>Target window 25-27 min</t>
        </is>
      </c>
    </row>
    <row r="17">
      <c r="B17" s="6" t="inlineStr">
        <is>
          <t>Bench press (kg)</t>
        </is>
      </c>
      <c r="C17" s="18" t="n">
        <v>105</v>
      </c>
      <c r="D17" s="18" t="n">
        <v>110</v>
      </c>
      <c r="E17" s="8" t="inlineStr">
        <is>
          <t>Maintain 105kg+</t>
        </is>
      </c>
    </row>
    <row r="18">
      <c r="B18" s="6" t="inlineStr">
        <is>
          <t>Back squat (kg)</t>
        </is>
      </c>
      <c r="C18" s="18" t="n">
        <v>140</v>
      </c>
      <c r="D18" s="18" t="n">
        <v>145</v>
      </c>
      <c r="E18" s="8" t="inlineStr">
        <is>
          <t>Maintain 140kg+</t>
        </is>
      </c>
    </row>
    <row r="19">
      <c r="B19" s="6" t="inlineStr">
        <is>
          <t>Sleep target (h)</t>
        </is>
      </c>
      <c r="C19" s="18" t="n">
        <v>8</v>
      </c>
      <c r="D19" s="18" t="n">
        <v>8</v>
      </c>
      <c r="E19" s="8" t="inlineStr">
        <is>
          <t>Recovery anchor</t>
        </is>
      </c>
    </row>
    <row r="20">
      <c r="B20" s="6" t="inlineStr">
        <is>
          <t>HRV baseline (ms)</t>
        </is>
      </c>
      <c r="C20" s="18" t="n">
        <v>65</v>
      </c>
      <c r="D20" s="18" t="n">
        <v>75</v>
      </c>
      <c r="E20" s="8" t="inlineStr">
        <is>
          <t>Trend, not absolute</t>
        </is>
      </c>
    </row>
    <row r="22" ht="24" customHeight="1">
      <c r="A22" s="3" t="inlineStr">
        <is>
          <t>DERIVED (auto)</t>
        </is>
      </c>
    </row>
    <row r="23" ht="26" customHeight="1">
      <c r="A23" s="5" t="inlineStr"/>
      <c r="B23" s="5" t="inlineStr">
        <is>
          <t>Metric</t>
        </is>
      </c>
      <c r="C23" s="5" t="inlineStr">
        <is>
          <t>Baseline</t>
        </is>
      </c>
      <c r="D23" s="5" t="inlineStr">
        <is>
          <t>Target</t>
        </is>
      </c>
      <c r="E23" s="5" t="inlineStr">
        <is>
          <t>Note</t>
        </is>
      </c>
    </row>
    <row r="24">
      <c r="B24" s="19" t="inlineStr">
        <is>
          <t>FTP / kg (W/kg)</t>
        </is>
      </c>
      <c r="C24" s="20">
        <f>C14/C13</f>
        <v/>
      </c>
      <c r="D24" s="20">
        <f>D14/D13</f>
        <v/>
      </c>
      <c r="E24" s="21">
        <f> FTP / body weight</f>
        <v/>
      </c>
    </row>
    <row r="25">
      <c r="B25" s="19" t="inlineStr">
        <is>
          <t>Total weight to lose (kg)</t>
        </is>
      </c>
      <c r="C25" s="22">
        <f>C13-D13</f>
        <v/>
      </c>
      <c r="D25" s="23">
        <f>ROUND((C13-D13)/24,2)</f>
        <v/>
      </c>
      <c r="E25" s="21" t="inlineStr">
        <is>
          <t>Target ~per week (col D)</t>
        </is>
      </c>
    </row>
  </sheetData>
  <mergeCells count="5">
    <mergeCell ref="A4:E4"/>
    <mergeCell ref="A2:E2"/>
    <mergeCell ref="A11:E11"/>
    <mergeCell ref="A1:E1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E4E"/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 ht="34" customHeight="1">
      <c r="A1" s="1" t="inlineStr">
        <is>
          <t>EXECUTIVE DASHBOARD</t>
        </is>
      </c>
    </row>
    <row r="2" ht="20" customHeight="1">
      <c r="A2" s="2" t="inlineStr">
        <is>
          <t>Live KPIs. Weight, FTP/kg, compliance, sleep &amp; HRV auto-pull from the Daily Log; yellow cells are manual. Targets pull from Inputs.</t>
        </is>
      </c>
    </row>
    <row r="4" ht="24" customHeight="1">
      <c r="A4" s="3" t="inlineStr">
        <is>
          <t>PERFORMANCE KPIs</t>
        </is>
      </c>
    </row>
    <row r="5" ht="26" customHeight="1">
      <c r="A5" s="5" t="inlineStr"/>
      <c r="B5" s="5" t="inlineStr">
        <is>
          <t>KPI</t>
        </is>
      </c>
      <c r="C5" s="5" t="inlineStr">
        <is>
          <t>Baseline</t>
        </is>
      </c>
      <c r="D5" s="5" t="inlineStr">
        <is>
          <t>Current</t>
        </is>
      </c>
      <c r="E5" s="5" t="inlineStr">
        <is>
          <t>Target</t>
        </is>
      </c>
      <c r="F5" s="5" t="inlineStr">
        <is>
          <t>% to goal</t>
        </is>
      </c>
      <c r="G5" s="5" t="inlineStr">
        <is>
          <t>Status / Notes</t>
        </is>
      </c>
    </row>
    <row r="6">
      <c r="B6" s="19" t="inlineStr">
        <is>
          <t>Body weight (kg)</t>
        </is>
      </c>
      <c r="C6" s="24">
        <f>Inputs!C13</f>
        <v/>
      </c>
      <c r="D6" s="22">
        <f>IFERROR(LOOKUP(2,1/('Daily Log'!H5:H186&lt;&gt;""),'Daily Log'!H5:H186),C6)</f>
        <v/>
      </c>
      <c r="E6" s="24">
        <f>Inputs!D13</f>
        <v/>
      </c>
      <c r="F6" s="25">
        <f>IF(ISNUMBER(D6),IF((C6-E6)=0,1,MAX(0,MIN(1,(C6-D6)/(C6-E6)))),"")</f>
        <v/>
      </c>
      <c r="G6" s="8" t="inlineStr">
        <is>
          <t>AUTO: latest weight from Daily Log</t>
        </is>
      </c>
    </row>
    <row r="7">
      <c r="B7" s="19" t="inlineStr">
        <is>
          <t>FTP (W)</t>
        </is>
      </c>
      <c r="C7" s="24">
        <f>Inputs!C14</f>
        <v/>
      </c>
      <c r="D7" s="26" t="n"/>
      <c r="E7" s="24">
        <f>Inputs!D14</f>
        <v/>
      </c>
      <c r="F7" s="25">
        <f>IF(ISNUMBER(D7),IF((E7-C7)=0,1,MAX(0,MIN(1,(D7-C7)/(E7-C7)))),"")</f>
        <v/>
      </c>
      <c r="G7" s="8" t="inlineStr">
        <is>
          <t>Enter current value weekly</t>
        </is>
      </c>
    </row>
    <row r="8">
      <c r="B8" s="19" t="inlineStr">
        <is>
          <t>FTP / kg (W/kg)</t>
        </is>
      </c>
      <c r="C8" s="27">
        <f>Inputs!C24</f>
        <v/>
      </c>
      <c r="D8" s="20">
        <f>IF(OR(D7="",D6=""),"",D7/D6)</f>
        <v/>
      </c>
      <c r="E8" s="27">
        <f>Inputs!D24</f>
        <v/>
      </c>
      <c r="F8" s="25">
        <f>IF(ISNUMBER(D8),IF((E8-C8)=0,1,MAX(0,MIN(1,(D8-C8)/(E8-C8)))),"")</f>
        <v/>
      </c>
      <c r="G8" s="8" t="inlineStr">
        <is>
          <t>AUTO: current FTP / current weight</t>
        </is>
      </c>
    </row>
    <row r="9">
      <c r="B9" s="19" t="inlineStr">
        <is>
          <t>VO2 Max</t>
        </is>
      </c>
      <c r="C9" s="24">
        <f>Inputs!C15</f>
        <v/>
      </c>
      <c r="D9" s="26" t="n"/>
      <c r="E9" s="24">
        <f>Inputs!D15</f>
        <v/>
      </c>
      <c r="F9" s="25">
        <f>IF(ISNUMBER(D9),IF((E9-C9)=0,1,MAX(0,MIN(1,(D9-C9)/(E9-C9)))),"")</f>
        <v/>
      </c>
      <c r="G9" s="8" t="inlineStr">
        <is>
          <t>Enter current value weekly</t>
        </is>
      </c>
    </row>
    <row r="10">
      <c r="B10" s="19" t="inlineStr">
        <is>
          <t>5km time</t>
        </is>
      </c>
      <c r="C10" s="28">
        <f>Inputs!C16</f>
        <v/>
      </c>
      <c r="D10" s="18" t="n"/>
      <c r="E10" s="28">
        <f>Inputs!D16</f>
        <v/>
      </c>
      <c r="F10" s="25" t="inlineStr">
        <is>
          <t>—</t>
        </is>
      </c>
      <c r="G10" s="8" t="inlineStr">
        <is>
          <t>Enter current value weekly</t>
        </is>
      </c>
    </row>
    <row r="11">
      <c r="B11" s="19" t="inlineStr">
        <is>
          <t>Bench press (kg)</t>
        </is>
      </c>
      <c r="C11" s="24">
        <f>Inputs!C17</f>
        <v/>
      </c>
      <c r="D11" s="26" t="n"/>
      <c r="E11" s="24">
        <f>Inputs!C17</f>
        <v/>
      </c>
      <c r="F11" s="25">
        <f>IF(ISNUMBER(D11),IF((E11-C11)=0,1,MAX(0,MIN(1,(D11-C11)/(E11-C11)))),"")</f>
        <v/>
      </c>
      <c r="G11" s="8" t="inlineStr">
        <is>
          <t>Enter current value weekly</t>
        </is>
      </c>
    </row>
    <row r="12">
      <c r="B12" s="19" t="inlineStr">
        <is>
          <t>Back squat (kg)</t>
        </is>
      </c>
      <c r="C12" s="24">
        <f>Inputs!C18</f>
        <v/>
      </c>
      <c r="D12" s="26" t="n"/>
      <c r="E12" s="24">
        <f>Inputs!C18</f>
        <v/>
      </c>
      <c r="F12" s="25">
        <f>IF(ISNUMBER(D12),IF((E12-C12)=0,1,MAX(0,MIN(1,(D12-C12)/(E12-C12)))),"")</f>
        <v/>
      </c>
      <c r="G12" s="8" t="inlineStr">
        <is>
          <t>Enter current value weekly</t>
        </is>
      </c>
    </row>
    <row r="14" ht="24" customHeight="1">
      <c r="A14" s="3" t="inlineStr">
        <is>
          <t>RECOVERY &amp; CONSISTENCY</t>
        </is>
      </c>
    </row>
    <row r="15" ht="26" customHeight="1">
      <c r="A15" s="5" t="inlineStr"/>
      <c r="B15" s="5" t="inlineStr">
        <is>
          <t>Metric</t>
        </is>
      </c>
      <c r="C15" s="5" t="inlineStr">
        <is>
          <t>Baseline</t>
        </is>
      </c>
      <c r="D15" s="5" t="inlineStr">
        <is>
          <t>Current</t>
        </is>
      </c>
      <c r="E15" s="5" t="inlineStr">
        <is>
          <t>Target</t>
        </is>
      </c>
      <c r="F15" s="5" t="inlineStr">
        <is>
          <t>Trend</t>
        </is>
      </c>
      <c r="G15" s="5" t="inlineStr">
        <is>
          <t>Guidance</t>
        </is>
      </c>
    </row>
    <row r="16">
      <c r="B16" s="6" t="inlineStr">
        <is>
          <t>Compliance (%)</t>
        </is>
      </c>
      <c r="C16" s="29" t="n"/>
      <c r="D16" s="25">
        <f>IFERROR((COUNTIF('Daily Log'!F5:F186,"Yes")+COUNTIF('Daily Log'!F5:F186,"Travel Alt"))/COUNTA('Daily Log'!F5:F186),"")</f>
        <v/>
      </c>
      <c r="E16" s="30" t="n">
        <v>0.9</v>
      </c>
      <c r="F16" s="31" t="n"/>
      <c r="G16" s="8" t="inlineStr">
        <is>
          <t>AUTO from Daily Log. Aim 90%+.</t>
        </is>
      </c>
    </row>
    <row r="17">
      <c r="B17" s="6" t="inlineStr">
        <is>
          <t>Sleep (h/night)</t>
        </is>
      </c>
      <c r="C17" s="29" t="n"/>
      <c r="D17" s="22">
        <f>IFERROR(AVERAGE('Daily Log'!I5:I186),"")</f>
        <v/>
      </c>
      <c r="E17" s="31">
        <f>Inputs!D19</f>
        <v/>
      </c>
      <c r="F17" s="32" t="n"/>
      <c r="G17" s="8" t="inlineStr">
        <is>
          <t>AUTO: avg logged sleep.</t>
        </is>
      </c>
    </row>
    <row r="18">
      <c r="B18" s="6" t="inlineStr">
        <is>
          <t>HRV (ms)</t>
        </is>
      </c>
      <c r="C18" s="31">
        <f>Inputs!C20</f>
        <v/>
      </c>
      <c r="D18" s="33">
        <f>IFERROR(AVERAGE('Daily Log'!J5:J186),"")</f>
        <v/>
      </c>
      <c r="E18" s="31" t="n">
        <v>75</v>
      </c>
      <c r="F18" s="32" t="n"/>
      <c r="G18" s="8" t="inlineStr">
        <is>
          <t>AUTO: avg logged HRV (watch 7-day trend).</t>
        </is>
      </c>
    </row>
    <row r="19">
      <c r="B19" s="6" t="inlineStr">
        <is>
          <t>Resting HR (bpm)</t>
        </is>
      </c>
      <c r="C19" s="29" t="n"/>
      <c r="D19" s="18" t="n"/>
      <c r="E19" s="31" t="n">
        <v>50</v>
      </c>
      <c r="F19" s="32" t="n"/>
      <c r="G19" s="8" t="inlineStr">
        <is>
          <t>Should drift down as aerobic base builds.</t>
        </is>
      </c>
    </row>
    <row r="20">
      <c r="B20" s="6" t="inlineStr">
        <is>
          <t>Recovery score (1-10)</t>
        </is>
      </c>
      <c r="C20" s="29" t="n"/>
      <c r="D20" s="18" t="n"/>
      <c r="E20" s="31" t="n">
        <v>8</v>
      </c>
      <c r="F20" s="32" t="n"/>
      <c r="G20" s="8" t="inlineStr">
        <is>
          <t>&lt;5 = swap to travel-alt or deload day.</t>
        </is>
      </c>
    </row>
    <row r="22" ht="24" customHeight="1">
      <c r="A22" s="3" t="inlineStr">
        <is>
          <t>THIS WEEK</t>
        </is>
      </c>
    </row>
    <row r="23">
      <c r="B23" s="19" t="inlineStr">
        <is>
          <t>Current week #</t>
        </is>
      </c>
      <c r="C23" s="29" t="n"/>
      <c r="D23" s="34">
        <f>MEDIAN(1,26,INT((TODAY()-Inputs!C7)/7)+1)</f>
        <v/>
      </c>
      <c r="E23" s="19" t="inlineStr">
        <is>
          <t>Phase</t>
        </is>
      </c>
      <c r="F23" s="34">
        <f>IF(D23="","",IF(D23&gt;=26,"Test &amp; Lock",IF(D23=25,"Taper",CHOOSE(MOD(D23-1,4)+1,"Accumulation","Progression","Peak Volume","Deload"))))</f>
        <v/>
      </c>
      <c r="G23" s="29" t="n"/>
    </row>
    <row r="24" ht="22" customHeight="1">
      <c r="B24" s="19" t="inlineStr">
        <is>
          <t>Top focus this week</t>
        </is>
      </c>
      <c r="C24" s="35" t="inlineStr">
        <is>
          <t>e.g. Protect sleep, hit all Zone 2 watts, +1 set on bench</t>
        </is>
      </c>
      <c r="D24" s="29" t="n"/>
      <c r="E24" s="29" t="n"/>
      <c r="F24" s="29" t="n"/>
      <c r="G24" s="29" t="n"/>
    </row>
  </sheetData>
  <mergeCells count="7">
    <mergeCell ref="A14:G14"/>
    <mergeCell ref="A1:G1"/>
    <mergeCell ref="C24:G24"/>
    <mergeCell ref="A22:G22"/>
    <mergeCell ref="A4:G4"/>
    <mergeCell ref="B23:C23"/>
    <mergeCell ref="A2:G2"/>
  </mergeCells>
  <conditionalFormatting sqref="F6:F12">
    <cfRule type="colorScale" priority="1">
      <colorScale>
        <cfvo type="num" val="0"/>
        <cfvo type="num" val="0.5"/>
        <cfvo type="num" val="1"/>
        <color rgb="00C0392B"/>
        <color rgb="00F1C40F"/>
        <color rgb="0027AE60"/>
      </colorScale>
    </cfRule>
  </conditionalFormatting>
  <conditionalFormatting sqref="D16">
    <cfRule type="cellIs" priority="2" operator="greaterThanOrEqual" dxfId="0">
      <formula>0.9</formula>
    </cfRule>
    <cfRule type="cellIs" priority="3" operator="lessThan" dxfId="1">
      <formula>0.75</formula>
    </cfRule>
  </conditionalFormatting>
  <conditionalFormatting sqref="D20">
    <cfRule type="colorScale" priority="4">
      <colorScale>
        <cfvo type="num" val="1"/>
        <cfvo type="num" val="5"/>
        <cfvo type="num" val="10"/>
        <color rgb="00C0392B"/>
        <color rgb="00F1C40F"/>
        <color rgb="0027AE6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3" customWidth="1" min="4" max="4"/>
    <col width="12" customWidth="1" min="5" max="5"/>
    <col width="13" customWidth="1" min="6" max="6"/>
    <col width="40" customWidth="1" min="7" max="7"/>
    <col width="40" customWidth="1" min="8" max="8"/>
    <col width="34" customWidth="1" min="9" max="9"/>
  </cols>
  <sheetData>
    <row r="1" ht="34" customHeight="1">
      <c r="A1" s="1" t="inlineStr">
        <is>
          <t>26-WEEK ROADMAP</t>
        </is>
      </c>
    </row>
    <row r="2" ht="20" customHeight="1">
      <c r="A2" s="2" t="inlineStr">
        <is>
          <t>One row per week. 6 blocks x 4-week wave (1-24) + Taper (25) + Test &amp; Lock (26).</t>
        </is>
      </c>
    </row>
    <row r="4" ht="30" customHeight="1">
      <c r="A4" s="5" t="inlineStr">
        <is>
          <t>Wk</t>
        </is>
      </c>
      <c r="B4" s="5" t="inlineStr">
        <is>
          <t>Block</t>
        </is>
      </c>
      <c r="C4" s="5" t="inlineStr">
        <is>
          <t>Phase</t>
        </is>
      </c>
      <c r="D4" s="5" t="inlineStr">
        <is>
          <t>Weight kg</t>
        </is>
      </c>
      <c r="E4" s="5" t="inlineStr">
        <is>
          <t>FTP W</t>
        </is>
      </c>
      <c r="F4" s="5" t="inlineStr">
        <is>
          <t>FTP/kg</t>
        </is>
      </c>
      <c r="G4" s="5" t="inlineStr">
        <is>
          <t>Strength Strategy</t>
        </is>
      </c>
      <c r="H4" s="5" t="inlineStr">
        <is>
          <t>Endurance Strategy</t>
        </is>
      </c>
      <c r="I4" s="5" t="inlineStr">
        <is>
          <t>Recovery Guidance</t>
        </is>
      </c>
    </row>
    <row r="5" ht="34" customHeight="1">
      <c r="A5" s="28" t="n">
        <v>1</v>
      </c>
      <c r="B5" s="28" t="inlineStr">
        <is>
          <t>B1</t>
        </is>
      </c>
      <c r="C5" s="36" t="inlineStr">
        <is>
          <t>Accumulation</t>
        </is>
      </c>
      <c r="D5" s="28" t="n">
        <v>100</v>
      </c>
      <c r="E5" s="28" t="n">
        <v>215</v>
      </c>
      <c r="F5" s="27">
        <f>E5/D5</f>
        <v/>
      </c>
      <c r="G5" s="37" t="inlineStr">
        <is>
          <t>High volume base. Lock technique. 2-3 reps in reserve on all lifts.</t>
        </is>
      </c>
      <c r="H5" s="37" t="inlineStr">
        <is>
          <t>Build aerobic base. 80% easy Zone 2, 20% quality.</t>
        </is>
      </c>
      <c r="I5" s="37" t="inlineStr">
        <is>
          <t>8h sleep target. Daily mobility 10 min. Establish routine.</t>
        </is>
      </c>
    </row>
    <row r="6" ht="34" customHeight="1">
      <c r="A6" s="28" t="n">
        <v>2</v>
      </c>
      <c r="B6" s="28" t="inlineStr">
        <is>
          <t>B1</t>
        </is>
      </c>
      <c r="C6" s="38" t="inlineStr">
        <is>
          <t>Progression</t>
        </is>
      </c>
      <c r="D6" s="28" t="n">
        <v>99.3</v>
      </c>
      <c r="E6" s="28" t="n">
        <v>218</v>
      </c>
      <c r="F6" s="27">
        <f>E6/D6</f>
        <v/>
      </c>
      <c r="G6" s="37" t="inlineStr">
        <is>
          <t>Add one set, 1-2 reps, or small load wherever last week was completed.</t>
        </is>
      </c>
      <c r="H6" s="37" t="inlineStr">
        <is>
          <t>Extend easy volume; sharpen the 20% quality sessions.</t>
        </is>
      </c>
      <c r="I6" s="37" t="inlineStr">
        <is>
          <t>Monitor HRV trend. Add 5 min breathwork on hard days.</t>
        </is>
      </c>
    </row>
    <row r="7" ht="34" customHeight="1">
      <c r="A7" s="28" t="n">
        <v>3</v>
      </c>
      <c r="B7" s="28" t="inlineStr">
        <is>
          <t>B1</t>
        </is>
      </c>
      <c r="C7" s="39" t="inlineStr">
        <is>
          <t>Peak Volume</t>
        </is>
      </c>
      <c r="D7" s="28" t="n">
        <v>98.7</v>
      </c>
      <c r="E7" s="28" t="n">
        <v>220</v>
      </c>
      <c r="F7" s="27">
        <f>E7/D7</f>
        <v/>
      </c>
      <c r="G7" s="37" t="inlineStr">
        <is>
          <t>Highest density / volume of the block. Cap effort at RPE 8.</t>
        </is>
      </c>
      <c r="H7" s="37" t="inlineStr">
        <is>
          <t>Peak endurance density; longest long ride &amp; run of the block.</t>
        </is>
      </c>
      <c r="I7" s="37" t="inlineStr">
        <is>
          <t>Protect sleep aggressively. Nap if HRV drops. Fuel hard sessions.</t>
        </is>
      </c>
    </row>
    <row r="8" ht="34" customHeight="1">
      <c r="A8" s="28" t="n">
        <v>4</v>
      </c>
      <c r="B8" s="28" t="inlineStr">
        <is>
          <t>B1</t>
        </is>
      </c>
      <c r="C8" s="40" t="inlineStr">
        <is>
          <t>Deload</t>
        </is>
      </c>
      <c r="D8" s="28" t="n">
        <v>98</v>
      </c>
      <c r="E8" s="28" t="n">
        <v>220</v>
      </c>
      <c r="F8" s="27">
        <f>E8/D8</f>
        <v/>
      </c>
      <c r="G8" s="37" t="inlineStr">
        <is>
          <t>Cut strength volume ~40%. Keep movement quality high. Recover tissue.</t>
        </is>
      </c>
      <c r="H8" s="37" t="inlineStr">
        <is>
          <t>Reduce endurance volume 40-50%. Short, sharp, fresh.</t>
        </is>
      </c>
      <c r="I8" s="37" t="inlineStr">
        <is>
          <t>Extra sleep, easy walks, massage/sauna. Re-test KPIs end of week.</t>
        </is>
      </c>
    </row>
    <row r="9" ht="34" customHeight="1">
      <c r="A9" s="28" t="n">
        <v>5</v>
      </c>
      <c r="B9" s="28" t="inlineStr">
        <is>
          <t>B2</t>
        </is>
      </c>
      <c r="C9" s="36" t="inlineStr">
        <is>
          <t>Accumulation</t>
        </is>
      </c>
      <c r="D9" s="28" t="n">
        <v>97.40000000000001</v>
      </c>
      <c r="E9" s="28" t="n">
        <v>225</v>
      </c>
      <c r="F9" s="27">
        <f>E9/D9</f>
        <v/>
      </c>
      <c r="G9" s="37" t="inlineStr">
        <is>
          <t>High volume base. Lock technique. 2-3 reps in reserve on all lifts.</t>
        </is>
      </c>
      <c r="H9" s="37" t="inlineStr">
        <is>
          <t>Build aerobic base. 80% easy Zone 2, 20% quality.</t>
        </is>
      </c>
      <c r="I9" s="37" t="inlineStr">
        <is>
          <t>8h sleep target. Daily mobility 10 min. Establish routine.</t>
        </is>
      </c>
    </row>
    <row r="10" ht="34" customHeight="1">
      <c r="A10" s="28" t="n">
        <v>6</v>
      </c>
      <c r="B10" s="28" t="inlineStr">
        <is>
          <t>B2</t>
        </is>
      </c>
      <c r="C10" s="38" t="inlineStr">
        <is>
          <t>Progression</t>
        </is>
      </c>
      <c r="D10" s="28" t="n">
        <v>96.7</v>
      </c>
      <c r="E10" s="28" t="n">
        <v>228</v>
      </c>
      <c r="F10" s="27">
        <f>E10/D10</f>
        <v/>
      </c>
      <c r="G10" s="37" t="inlineStr">
        <is>
          <t>Add one set, 1-2 reps, or small load wherever last week was completed.</t>
        </is>
      </c>
      <c r="H10" s="37" t="inlineStr">
        <is>
          <t>Extend easy volume; sharpen the 20% quality sessions.</t>
        </is>
      </c>
      <c r="I10" s="37" t="inlineStr">
        <is>
          <t>Monitor HRV trend. Add 5 min breathwork on hard days.</t>
        </is>
      </c>
    </row>
    <row r="11" ht="34" customHeight="1">
      <c r="A11" s="28" t="n">
        <v>7</v>
      </c>
      <c r="B11" s="28" t="inlineStr">
        <is>
          <t>B2</t>
        </is>
      </c>
      <c r="C11" s="39" t="inlineStr">
        <is>
          <t>Peak Volume</t>
        </is>
      </c>
      <c r="D11" s="28" t="n">
        <v>96.09999999999999</v>
      </c>
      <c r="E11" s="28" t="n">
        <v>231</v>
      </c>
      <c r="F11" s="27">
        <f>E11/D11</f>
        <v/>
      </c>
      <c r="G11" s="37" t="inlineStr">
        <is>
          <t>Highest density / volume of the block. Cap effort at RPE 8.</t>
        </is>
      </c>
      <c r="H11" s="37" t="inlineStr">
        <is>
          <t>Peak endurance density; longest long ride &amp; run of the block.</t>
        </is>
      </c>
      <c r="I11" s="37" t="inlineStr">
        <is>
          <t>Protect sleep aggressively. Nap if HRV drops. Fuel hard sessions.</t>
        </is>
      </c>
    </row>
    <row r="12" ht="34" customHeight="1">
      <c r="A12" s="28" t="n">
        <v>8</v>
      </c>
      <c r="B12" s="28" t="inlineStr">
        <is>
          <t>B2</t>
        </is>
      </c>
      <c r="C12" s="40" t="inlineStr">
        <is>
          <t>Deload</t>
        </is>
      </c>
      <c r="D12" s="28" t="n">
        <v>95.40000000000001</v>
      </c>
      <c r="E12" s="28" t="n">
        <v>230</v>
      </c>
      <c r="F12" s="27">
        <f>E12/D12</f>
        <v/>
      </c>
      <c r="G12" s="37" t="inlineStr">
        <is>
          <t>Cut strength volume ~40%. Keep movement quality high. Recover tissue.</t>
        </is>
      </c>
      <c r="H12" s="37" t="inlineStr">
        <is>
          <t>Reduce endurance volume 40-50%. Short, sharp, fresh.</t>
        </is>
      </c>
      <c r="I12" s="37" t="inlineStr">
        <is>
          <t>Extra sleep, easy walks, massage/sauna. Re-test KPIs end of week.</t>
        </is>
      </c>
    </row>
    <row r="13" ht="34" customHeight="1">
      <c r="A13" s="28" t="n">
        <v>9</v>
      </c>
      <c r="B13" s="28" t="inlineStr">
        <is>
          <t>B3</t>
        </is>
      </c>
      <c r="C13" s="36" t="inlineStr">
        <is>
          <t>Accumulation</t>
        </is>
      </c>
      <c r="D13" s="28" t="n">
        <v>94.8</v>
      </c>
      <c r="E13" s="28" t="n">
        <v>236</v>
      </c>
      <c r="F13" s="27">
        <f>E13/D13</f>
        <v/>
      </c>
      <c r="G13" s="37" t="inlineStr">
        <is>
          <t>High volume base. Lock technique. 2-3 reps in reserve on all lifts.</t>
        </is>
      </c>
      <c r="H13" s="37" t="inlineStr">
        <is>
          <t>Build aerobic base. 80% easy Zone 2, 20% quality.</t>
        </is>
      </c>
      <c r="I13" s="37" t="inlineStr">
        <is>
          <t>8h sleep target. Daily mobility 10 min. Establish routine.</t>
        </is>
      </c>
    </row>
    <row r="14" ht="34" customHeight="1">
      <c r="A14" s="28" t="n">
        <v>10</v>
      </c>
      <c r="B14" s="28" t="inlineStr">
        <is>
          <t>B3</t>
        </is>
      </c>
      <c r="C14" s="38" t="inlineStr">
        <is>
          <t>Progression</t>
        </is>
      </c>
      <c r="D14" s="28" t="n">
        <v>94.09999999999999</v>
      </c>
      <c r="E14" s="28" t="n">
        <v>238</v>
      </c>
      <c r="F14" s="27">
        <f>E14/D14</f>
        <v/>
      </c>
      <c r="G14" s="37" t="inlineStr">
        <is>
          <t>Add one set, 1-2 reps, or small load wherever last week was completed.</t>
        </is>
      </c>
      <c r="H14" s="37" t="inlineStr">
        <is>
          <t>Extend easy volume; sharpen the 20% quality sessions.</t>
        </is>
      </c>
      <c r="I14" s="37" t="inlineStr">
        <is>
          <t>Monitor HRV trend. Add 5 min breathwork on hard days.</t>
        </is>
      </c>
    </row>
    <row r="15" ht="34" customHeight="1">
      <c r="A15" s="28" t="n">
        <v>11</v>
      </c>
      <c r="B15" s="28" t="inlineStr">
        <is>
          <t>B3</t>
        </is>
      </c>
      <c r="C15" s="39" t="inlineStr">
        <is>
          <t>Peak Volume</t>
        </is>
      </c>
      <c r="D15" s="28" t="n">
        <v>93.5</v>
      </c>
      <c r="E15" s="28" t="n">
        <v>241</v>
      </c>
      <c r="F15" s="27">
        <f>E15/D15</f>
        <v/>
      </c>
      <c r="G15" s="37" t="inlineStr">
        <is>
          <t>Highest density / volume of the block. Cap effort at RPE 8.</t>
        </is>
      </c>
      <c r="H15" s="37" t="inlineStr">
        <is>
          <t>Peak endurance density; longest long ride &amp; run of the block.</t>
        </is>
      </c>
      <c r="I15" s="37" t="inlineStr">
        <is>
          <t>Protect sleep aggressively. Nap if HRV drops. Fuel hard sessions.</t>
        </is>
      </c>
    </row>
    <row r="16" ht="34" customHeight="1">
      <c r="A16" s="28" t="n">
        <v>12</v>
      </c>
      <c r="B16" s="28" t="inlineStr">
        <is>
          <t>B3</t>
        </is>
      </c>
      <c r="C16" s="40" t="inlineStr">
        <is>
          <t>Deload</t>
        </is>
      </c>
      <c r="D16" s="28" t="n">
        <v>92.8</v>
      </c>
      <c r="E16" s="28" t="n">
        <v>241</v>
      </c>
      <c r="F16" s="27">
        <f>E16/D16</f>
        <v/>
      </c>
      <c r="G16" s="37" t="inlineStr">
        <is>
          <t>Cut strength volume ~40%. Keep movement quality high. Recover tissue.</t>
        </is>
      </c>
      <c r="H16" s="37" t="inlineStr">
        <is>
          <t>Reduce endurance volume 40-50%. Short, sharp, fresh.</t>
        </is>
      </c>
      <c r="I16" s="37" t="inlineStr">
        <is>
          <t>Extra sleep, easy walks, massage/sauna. Re-test KPIs end of week.</t>
        </is>
      </c>
    </row>
    <row r="17" ht="34" customHeight="1">
      <c r="A17" s="28" t="n">
        <v>13</v>
      </c>
      <c r="B17" s="28" t="inlineStr">
        <is>
          <t>B4</t>
        </is>
      </c>
      <c r="C17" s="36" t="inlineStr">
        <is>
          <t>Accumulation</t>
        </is>
      </c>
      <c r="D17" s="28" t="n">
        <v>92.2</v>
      </c>
      <c r="E17" s="28" t="n">
        <v>246</v>
      </c>
      <c r="F17" s="27">
        <f>E17/D17</f>
        <v/>
      </c>
      <c r="G17" s="37" t="inlineStr">
        <is>
          <t>High volume base. Lock technique. 2-3 reps in reserve on all lifts.</t>
        </is>
      </c>
      <c r="H17" s="37" t="inlineStr">
        <is>
          <t>Build aerobic base. 80% easy Zone 2, 20% quality.</t>
        </is>
      </c>
      <c r="I17" s="37" t="inlineStr">
        <is>
          <t>8h sleep target. Daily mobility 10 min. Establish routine.</t>
        </is>
      </c>
    </row>
    <row r="18" ht="34" customHeight="1">
      <c r="A18" s="28" t="n">
        <v>14</v>
      </c>
      <c r="B18" s="28" t="inlineStr">
        <is>
          <t>B4</t>
        </is>
      </c>
      <c r="C18" s="38" t="inlineStr">
        <is>
          <t>Progression</t>
        </is>
      </c>
      <c r="D18" s="28" t="n">
        <v>91.5</v>
      </c>
      <c r="E18" s="28" t="n">
        <v>249</v>
      </c>
      <c r="F18" s="27">
        <f>E18/D18</f>
        <v/>
      </c>
      <c r="G18" s="37" t="inlineStr">
        <is>
          <t>Add one set, 1-2 reps, or small load wherever last week was completed.</t>
        </is>
      </c>
      <c r="H18" s="37" t="inlineStr">
        <is>
          <t>Extend easy volume; sharpen the 20% quality sessions.</t>
        </is>
      </c>
      <c r="I18" s="37" t="inlineStr">
        <is>
          <t>Monitor HRV trend. Add 5 min breathwork on hard days.</t>
        </is>
      </c>
    </row>
    <row r="19" ht="34" customHeight="1">
      <c r="A19" s="28" t="n">
        <v>15</v>
      </c>
      <c r="B19" s="28" t="inlineStr">
        <is>
          <t>B4</t>
        </is>
      </c>
      <c r="C19" s="39" t="inlineStr">
        <is>
          <t>Peak Volume</t>
        </is>
      </c>
      <c r="D19" s="28" t="n">
        <v>90.90000000000001</v>
      </c>
      <c r="E19" s="28" t="n">
        <v>252</v>
      </c>
      <c r="F19" s="27">
        <f>E19/D19</f>
        <v/>
      </c>
      <c r="G19" s="37" t="inlineStr">
        <is>
          <t>Highest density / volume of the block. Cap effort at RPE 8.</t>
        </is>
      </c>
      <c r="H19" s="37" t="inlineStr">
        <is>
          <t>Peak endurance density; longest long ride &amp; run of the block.</t>
        </is>
      </c>
      <c r="I19" s="37" t="inlineStr">
        <is>
          <t>Protect sleep aggressively. Nap if HRV drops. Fuel hard sessions.</t>
        </is>
      </c>
    </row>
    <row r="20" ht="34" customHeight="1">
      <c r="A20" s="28" t="n">
        <v>16</v>
      </c>
      <c r="B20" s="28" t="inlineStr">
        <is>
          <t>B4</t>
        </is>
      </c>
      <c r="C20" s="40" t="inlineStr">
        <is>
          <t>Deload</t>
        </is>
      </c>
      <c r="D20" s="28" t="n">
        <v>90.2</v>
      </c>
      <c r="E20" s="28" t="n">
        <v>251</v>
      </c>
      <c r="F20" s="27">
        <f>E20/D20</f>
        <v/>
      </c>
      <c r="G20" s="37" t="inlineStr">
        <is>
          <t>Cut strength volume ~40%. Keep movement quality high. Recover tissue.</t>
        </is>
      </c>
      <c r="H20" s="37" t="inlineStr">
        <is>
          <t>Reduce endurance volume 40-50%. Short, sharp, fresh.</t>
        </is>
      </c>
      <c r="I20" s="37" t="inlineStr">
        <is>
          <t>Extra sleep, easy walks, massage/sauna. Re-test KPIs end of week.</t>
        </is>
      </c>
    </row>
    <row r="21" ht="34" customHeight="1">
      <c r="A21" s="28" t="n">
        <v>17</v>
      </c>
      <c r="B21" s="28" t="inlineStr">
        <is>
          <t>B5</t>
        </is>
      </c>
      <c r="C21" s="36" t="inlineStr">
        <is>
          <t>Accumulation</t>
        </is>
      </c>
      <c r="D21" s="28" t="n">
        <v>89.59999999999999</v>
      </c>
      <c r="E21" s="28" t="n">
        <v>257</v>
      </c>
      <c r="F21" s="27">
        <f>E21/D21</f>
        <v/>
      </c>
      <c r="G21" s="37" t="inlineStr">
        <is>
          <t>High volume base. Lock technique. 2-3 reps in reserve on all lifts.</t>
        </is>
      </c>
      <c r="H21" s="37" t="inlineStr">
        <is>
          <t>Build aerobic base. 80% easy Zone 2, 20% quality.</t>
        </is>
      </c>
      <c r="I21" s="37" t="inlineStr">
        <is>
          <t>8h sleep target. Daily mobility 10 min. Establish routine.</t>
        </is>
      </c>
    </row>
    <row r="22" ht="34" customHeight="1">
      <c r="A22" s="28" t="n">
        <v>18</v>
      </c>
      <c r="B22" s="28" t="inlineStr">
        <is>
          <t>B5</t>
        </is>
      </c>
      <c r="C22" s="38" t="inlineStr">
        <is>
          <t>Progression</t>
        </is>
      </c>
      <c r="D22" s="28" t="n">
        <v>88.90000000000001</v>
      </c>
      <c r="E22" s="28" t="n">
        <v>259</v>
      </c>
      <c r="F22" s="27">
        <f>E22/D22</f>
        <v/>
      </c>
      <c r="G22" s="37" t="inlineStr">
        <is>
          <t>Add one set, 1-2 reps, or small load wherever last week was completed.</t>
        </is>
      </c>
      <c r="H22" s="37" t="inlineStr">
        <is>
          <t>Extend easy volume; sharpen the 20% quality sessions.</t>
        </is>
      </c>
      <c r="I22" s="37" t="inlineStr">
        <is>
          <t>Monitor HRV trend. Add 5 min breathwork on hard days.</t>
        </is>
      </c>
    </row>
    <row r="23" ht="34" customHeight="1">
      <c r="A23" s="28" t="n">
        <v>19</v>
      </c>
      <c r="B23" s="28" t="inlineStr">
        <is>
          <t>B5</t>
        </is>
      </c>
      <c r="C23" s="39" t="inlineStr">
        <is>
          <t>Peak Volume</t>
        </is>
      </c>
      <c r="D23" s="28" t="n">
        <v>88.3</v>
      </c>
      <c r="E23" s="28" t="n">
        <v>262</v>
      </c>
      <c r="F23" s="27">
        <f>E23/D23</f>
        <v/>
      </c>
      <c r="G23" s="37" t="inlineStr">
        <is>
          <t>Highest density / volume of the block. Cap effort at RPE 8.</t>
        </is>
      </c>
      <c r="H23" s="37" t="inlineStr">
        <is>
          <t>Peak endurance density; longest long ride &amp; run of the block.</t>
        </is>
      </c>
      <c r="I23" s="37" t="inlineStr">
        <is>
          <t>Protect sleep aggressively. Nap if HRV drops. Fuel hard sessions.</t>
        </is>
      </c>
    </row>
    <row r="24" ht="34" customHeight="1">
      <c r="A24" s="28" t="n">
        <v>20</v>
      </c>
      <c r="B24" s="28" t="inlineStr">
        <is>
          <t>B5</t>
        </is>
      </c>
      <c r="C24" s="40" t="inlineStr">
        <is>
          <t>Deload</t>
        </is>
      </c>
      <c r="D24" s="28" t="n">
        <v>87.59999999999999</v>
      </c>
      <c r="E24" s="28" t="n">
        <v>262</v>
      </c>
      <c r="F24" s="27">
        <f>E24/D24</f>
        <v/>
      </c>
      <c r="G24" s="37" t="inlineStr">
        <is>
          <t>Cut strength volume ~40%. Keep movement quality high. Recover tissue.</t>
        </is>
      </c>
      <c r="H24" s="37" t="inlineStr">
        <is>
          <t>Reduce endurance volume 40-50%. Short, sharp, fresh.</t>
        </is>
      </c>
      <c r="I24" s="37" t="inlineStr">
        <is>
          <t>Extra sleep, easy walks, massage/sauna. Re-test KPIs end of week.</t>
        </is>
      </c>
    </row>
    <row r="25" ht="34" customHeight="1">
      <c r="A25" s="28" t="n">
        <v>21</v>
      </c>
      <c r="B25" s="28" t="inlineStr">
        <is>
          <t>B6</t>
        </is>
      </c>
      <c r="C25" s="36" t="inlineStr">
        <is>
          <t>Accumulation</t>
        </is>
      </c>
      <c r="D25" s="28" t="n">
        <v>87</v>
      </c>
      <c r="E25" s="28" t="n">
        <v>267</v>
      </c>
      <c r="F25" s="27">
        <f>E25/D25</f>
        <v/>
      </c>
      <c r="G25" s="37" t="inlineStr">
        <is>
          <t>High volume base. Lock technique. 2-3 reps in reserve on all lifts.</t>
        </is>
      </c>
      <c r="H25" s="37" t="inlineStr">
        <is>
          <t>Build aerobic base. 80% easy Zone 2, 20% quality.</t>
        </is>
      </c>
      <c r="I25" s="37" t="inlineStr">
        <is>
          <t>8h sleep target. Daily mobility 10 min. Establish routine.</t>
        </is>
      </c>
    </row>
    <row r="26" ht="34" customHeight="1">
      <c r="A26" s="28" t="n">
        <v>22</v>
      </c>
      <c r="B26" s="28" t="inlineStr">
        <is>
          <t>B6</t>
        </is>
      </c>
      <c r="C26" s="38" t="inlineStr">
        <is>
          <t>Progression</t>
        </is>
      </c>
      <c r="D26" s="28" t="n">
        <v>86.3</v>
      </c>
      <c r="E26" s="28" t="n">
        <v>270</v>
      </c>
      <c r="F26" s="27">
        <f>E26/D26</f>
        <v/>
      </c>
      <c r="G26" s="37" t="inlineStr">
        <is>
          <t>Add one set, 1-2 reps, or small load wherever last week was completed.</t>
        </is>
      </c>
      <c r="H26" s="37" t="inlineStr">
        <is>
          <t>Extend easy volume; sharpen the 20% quality sessions.</t>
        </is>
      </c>
      <c r="I26" s="37" t="inlineStr">
        <is>
          <t>Monitor HRV trend. Add 5 min breathwork on hard days.</t>
        </is>
      </c>
    </row>
    <row r="27" ht="34" customHeight="1">
      <c r="A27" s="28" t="n">
        <v>23</v>
      </c>
      <c r="B27" s="28" t="inlineStr">
        <is>
          <t>B6</t>
        </is>
      </c>
      <c r="C27" s="39" t="inlineStr">
        <is>
          <t>Peak Volume</t>
        </is>
      </c>
      <c r="D27" s="28" t="n">
        <v>85.7</v>
      </c>
      <c r="E27" s="28" t="n">
        <v>272</v>
      </c>
      <c r="F27" s="27">
        <f>E27/D27</f>
        <v/>
      </c>
      <c r="G27" s="37" t="inlineStr">
        <is>
          <t>Highest density / volume of the block. Cap effort at RPE 8.</t>
        </is>
      </c>
      <c r="H27" s="37" t="inlineStr">
        <is>
          <t>Peak endurance density; longest long ride &amp; run of the block.</t>
        </is>
      </c>
      <c r="I27" s="37" t="inlineStr">
        <is>
          <t>Protect sleep aggressively. Nap if HRV drops. Fuel hard sessions.</t>
        </is>
      </c>
    </row>
    <row r="28" ht="34" customHeight="1">
      <c r="A28" s="28" t="n">
        <v>24</v>
      </c>
      <c r="B28" s="28" t="inlineStr">
        <is>
          <t>B6</t>
        </is>
      </c>
      <c r="C28" s="40" t="inlineStr">
        <is>
          <t>Deload</t>
        </is>
      </c>
      <c r="D28" s="28" t="n">
        <v>85</v>
      </c>
      <c r="E28" s="28" t="n">
        <v>275</v>
      </c>
      <c r="F28" s="27">
        <f>E28/D28</f>
        <v/>
      </c>
      <c r="G28" s="37" t="inlineStr">
        <is>
          <t>Cut strength volume ~40%. Keep movement quality high. Recover tissue.</t>
        </is>
      </c>
      <c r="H28" s="37" t="inlineStr">
        <is>
          <t>Reduce endurance volume 40-50%. Short, sharp, fresh.</t>
        </is>
      </c>
      <c r="I28" s="37" t="inlineStr">
        <is>
          <t>Extra sleep, easy walks, massage/sauna. Re-test KPIs end of week.</t>
        </is>
      </c>
    </row>
    <row r="29" ht="34" customHeight="1">
      <c r="A29" s="28" t="n">
        <v>25</v>
      </c>
      <c r="B29" s="28" t="inlineStr">
        <is>
          <t>Finish</t>
        </is>
      </c>
      <c r="C29" s="41" t="inlineStr">
        <is>
          <t>Taper</t>
        </is>
      </c>
      <c r="D29" s="28" t="n">
        <v>85</v>
      </c>
      <c r="E29" s="28" t="n">
        <v>275</v>
      </c>
      <c r="F29" s="27">
        <f>E29/D29</f>
        <v/>
      </c>
      <c r="G29" s="37" t="inlineStr">
        <is>
          <t>Taper: cut strength volume ~30%, keep some intensity. Prime the nervous system; stay sharp &amp; fresh.</t>
        </is>
      </c>
      <c r="H29" s="37" t="inlineStr">
        <is>
          <t>Sharpen: short race-pace touches, big drop in easy volume, full freshness for testing.</t>
        </is>
      </c>
      <c r="I29" s="37" t="inlineStr">
        <is>
          <t>Maximise sleep &amp; mobility, reduce life stress. Arrive at test week fully primed.</t>
        </is>
      </c>
    </row>
    <row r="30" ht="34" customHeight="1">
      <c r="A30" s="28" t="n">
        <v>26</v>
      </c>
      <c r="B30" s="28" t="inlineStr">
        <is>
          <t>Finish</t>
        </is>
      </c>
      <c r="C30" s="42" t="inlineStr">
        <is>
          <t>Test &amp; Lock</t>
        </is>
      </c>
      <c r="D30" s="28" t="n">
        <v>85</v>
      </c>
      <c r="E30" s="28" t="n">
        <v>275</v>
      </c>
      <c r="F30" s="27">
        <f>E30/D30</f>
        <v/>
      </c>
      <c r="G30" s="37" t="inlineStr">
        <is>
          <t>Test week: re-test bench &amp; squat (heavy triples), minimal accessory volume. Confirm strength held.</t>
        </is>
      </c>
      <c r="H30" s="37" t="inlineStr">
        <is>
          <t>Test: 20-min FTP test, 5km time-trial, VO2 check. Minimal filler, maximal readiness.</t>
        </is>
      </c>
      <c r="I30" s="37" t="inlineStr">
        <is>
          <t>Full recovery between tests. Re-test all KPIs, log PBs, celebrate &amp; plan the next block.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7A1F"/>
    <outlinePr summaryBelow="1" summaryRight="1"/>
    <pageSetUpPr/>
  </sheetPr>
  <dimension ref="A1:O18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1" customWidth="1" min="4" max="4"/>
    <col width="18" customWidth="1" min="5" max="5"/>
    <col width="44" customWidth="1" min="6" max="6"/>
    <col width="24" customWidth="1" min="7" max="7"/>
    <col width="12" customWidth="1" min="8" max="8"/>
    <col width="22" customWidth="1" min="9" max="9"/>
    <col width="20" customWidth="1" min="10" max="10"/>
    <col width="30" customWidth="1" min="11" max="11"/>
    <col width="44" customWidth="1" min="12" max="12"/>
    <col width="13" customWidth="1" min="13" max="13"/>
    <col width="8" customWidth="1" min="14" max="14"/>
    <col width="22" customWidth="1" min="15" max="15"/>
  </cols>
  <sheetData>
    <row r="1" ht="34" customHeight="1">
      <c r="A1" s="1" t="inlineStr">
        <is>
          <t>DAILY PLAN — 182 DAYS</t>
        </is>
      </c>
    </row>
    <row r="2" ht="20" customHeight="1">
      <c r="A2" s="2" t="inlineStr">
        <is>
          <t>From Mon 22 Jun 2026 (26 weeks). One row per day. Log completion, RPE &amp; notes on the right.</t>
        </is>
      </c>
    </row>
    <row r="4" ht="30" customHeight="1">
      <c r="A4" s="5" t="inlineStr">
        <is>
          <t>Day</t>
        </is>
      </c>
      <c r="B4" s="5" t="inlineStr">
        <is>
          <t>Wk</t>
        </is>
      </c>
      <c r="C4" s="5" t="inlineStr">
        <is>
          <t>Date</t>
        </is>
      </c>
      <c r="D4" s="5" t="inlineStr">
        <is>
          <t>Weekday</t>
        </is>
      </c>
      <c r="E4" s="5" t="inlineStr">
        <is>
          <t>Strength Focus</t>
        </is>
      </c>
      <c r="F4" s="5" t="inlineStr">
        <is>
          <t>Workout</t>
        </is>
      </c>
      <c r="G4" s="5" t="inlineStr">
        <is>
          <t>Endurance / HIIT</t>
        </is>
      </c>
      <c r="H4" s="5" t="inlineStr">
        <is>
          <t>Intensity</t>
        </is>
      </c>
      <c r="I4" s="5" t="inlineStr">
        <is>
          <t>Mobility</t>
        </is>
      </c>
      <c r="J4" s="5" t="inlineStr">
        <is>
          <t>Mindfulness</t>
        </is>
      </c>
      <c r="K4" s="5" t="inlineStr">
        <is>
          <t>Travel Alternative</t>
        </is>
      </c>
      <c r="L4" s="5" t="inlineStr">
        <is>
          <t>Coach Brief</t>
        </is>
      </c>
      <c r="M4" s="5" t="inlineStr">
        <is>
          <t>Completed</t>
        </is>
      </c>
      <c r="N4" s="5" t="inlineStr">
        <is>
          <t>RPE</t>
        </is>
      </c>
      <c r="O4" s="5" t="inlineStr">
        <is>
          <t>Notes</t>
        </is>
      </c>
    </row>
    <row r="5" ht="50" customHeight="1">
      <c r="A5" s="28" t="n">
        <v>1</v>
      </c>
      <c r="B5" s="28" t="n">
        <v>1</v>
      </c>
      <c r="C5" s="43" t="n">
        <v>46195</v>
      </c>
      <c r="D5" s="28" t="inlineStr">
        <is>
          <t>Monday</t>
        </is>
      </c>
      <c r="E5" s="44" t="inlineStr">
        <is>
          <t>Chest + Biceps</t>
        </is>
      </c>
      <c r="F5" s="37" t="inlineStr">
        <is>
          <t>Barbell bench press 4x6. Incline DB press, Weighted dip, Cable fly, EZ-bar curl, Incline DB curl, Cable curl 3x8-10.</t>
        </is>
      </c>
      <c r="G5" s="37" t="inlineStr">
        <is>
          <t>Zone 2 Cycle 40 min @ 120-161W</t>
        </is>
      </c>
      <c r="H5" s="28" t="inlineStr">
        <is>
          <t>Easy</t>
        </is>
      </c>
      <c r="I5" s="37" t="inlineStr">
        <is>
          <t>Thoracic opener + pec stretch, 10 min</t>
        </is>
      </c>
      <c r="J5" s="37" t="inlineStr">
        <is>
          <t>5 min box breathing</t>
        </is>
      </c>
      <c r="K5" s="37" t="inlineStr">
        <is>
          <t>Hotel: DB press + DB curls. No gym: deep push-ups, band curls, slow tempo.</t>
        </is>
      </c>
      <c r="L5" s="37" t="inlineStr">
        <is>
          <t>Accumulation week. Bench 4x6 at RPE 7 (2-3 RIR); accessories 3x8-10. Cycle is true Zone 2 recovery — nose-breathing only.</t>
        </is>
      </c>
      <c r="M5" s="45" t="n"/>
      <c r="N5" s="45" t="n"/>
      <c r="O5" s="46" t="n"/>
    </row>
    <row r="6" ht="50" customHeight="1">
      <c r="A6" s="28" t="n">
        <v>2</v>
      </c>
      <c r="B6" s="28" t="n">
        <v>1</v>
      </c>
      <c r="C6" s="43" t="n">
        <v>46196</v>
      </c>
      <c r="D6" s="28" t="inlineStr">
        <is>
          <t>Tuesday</t>
        </is>
      </c>
      <c r="E6" s="44" t="inlineStr">
        <is>
          <t>Back + Triceps</t>
        </is>
      </c>
      <c r="F6" s="37" t="inlineStr">
        <is>
          <t>Weighted pull-up 4x6. Barbell row, Lat pulldown, Face pull, Close-grip bench, Rope pushdown, Overhead extension 3x8-10.</t>
        </is>
      </c>
      <c r="G6" s="37" t="inlineStr">
        <is>
          <t>VO2 Bike 5x3min @ 227-258W / 3min easy</t>
        </is>
      </c>
      <c r="H6" s="28" t="inlineStr">
        <is>
          <t>Hard</t>
        </is>
      </c>
      <c r="I6" s="37" t="inlineStr">
        <is>
          <t>Lat + lower-back decompression, 10 min</t>
        </is>
      </c>
      <c r="J6" s="37" t="inlineStr">
        <is>
          <t>5 min gratitude journaling</t>
        </is>
      </c>
      <c r="K6" s="37" t="inlineStr">
        <is>
          <t>Hotel: DB row + bench dips. No gym: doorway rows, band pulldown, diamond push-ups.</t>
        </is>
      </c>
      <c r="L6" s="37" t="inlineStr">
        <is>
          <t>Accumulation. Pulls 4x6 at RPE 7 (2-3 RIR). Fully recover between VO2 reps so you hit the watts every interval.</t>
        </is>
      </c>
      <c r="M6" s="45" t="n"/>
      <c r="N6" s="45" t="n"/>
      <c r="O6" s="46" t="n"/>
    </row>
    <row r="7" ht="50" customHeight="1">
      <c r="A7" s="28" t="n">
        <v>3</v>
      </c>
      <c r="B7" s="28" t="n">
        <v>1</v>
      </c>
      <c r="C7" s="43" t="n">
        <v>46197</v>
      </c>
      <c r="D7" s="28" t="inlineStr">
        <is>
          <t>Wednesday</t>
        </is>
      </c>
      <c r="E7" s="44" t="inlineStr">
        <is>
          <t>Legs Volume</t>
        </is>
      </c>
      <c r="F7" s="37" t="inlineStr">
        <is>
          <t>Back squat 4x6. Leg press, Walking lunge, Leg curl, Calf raise 3x8-10.</t>
        </is>
      </c>
      <c r="G7" s="37" t="inlineStr">
        <is>
          <t>Easy Run 30 min conversational (Zone 2)</t>
        </is>
      </c>
      <c r="H7" s="28" t="inlineStr">
        <is>
          <t>Easy</t>
        </is>
      </c>
      <c r="I7" s="37" t="inlineStr">
        <is>
          <t>Hip flexor + ankle mobility, 10 min</t>
        </is>
      </c>
      <c r="J7" s="37" t="inlineStr">
        <is>
          <t>5 min body scan</t>
        </is>
      </c>
      <c r="K7" s="37" t="inlineStr">
        <is>
          <t>Hotel: goblet squat + DB lunge. No gym: Bulgarian split squat, step-ups, tempo squats.</t>
        </is>
      </c>
      <c r="L7" s="37" t="inlineStr">
        <is>
          <t>Accumulation. Squat 4x6 at RPE 7 (2-3 RIR), accessories 3x8-10. Keep the run genuinely easy to aid leg recovery.</t>
        </is>
      </c>
      <c r="M7" s="45" t="n"/>
      <c r="N7" s="45" t="n"/>
      <c r="O7" s="46" t="n"/>
    </row>
    <row r="8" ht="50" customHeight="1">
      <c r="A8" s="28" t="n">
        <v>4</v>
      </c>
      <c r="B8" s="28" t="n">
        <v>1</v>
      </c>
      <c r="C8" s="43" t="n">
        <v>46198</v>
      </c>
      <c r="D8" s="28" t="inlineStr">
        <is>
          <t>Thursday</t>
        </is>
      </c>
      <c r="E8" s="44" t="inlineStr">
        <is>
          <t>Shoulders</t>
        </is>
      </c>
      <c r="F8" s="37" t="inlineStr">
        <is>
          <t>Overhead press 4x6. DB lateral raise, Rear-delt fly, Upright row, Shrug 3x8-10.</t>
        </is>
      </c>
      <c r="G8" s="37" t="inlineStr">
        <is>
          <t>Threshold Cycle 2x10min @ 195-225W</t>
        </is>
      </c>
      <c r="H8" s="28" t="inlineStr">
        <is>
          <t>Hard</t>
        </is>
      </c>
      <c r="I8" s="37" t="inlineStr">
        <is>
          <t>Shoulder CARs + band dislocates, 10 min</t>
        </is>
      </c>
      <c r="J8" s="37" t="inlineStr">
        <is>
          <t>5 min focus meditation</t>
        </is>
      </c>
      <c r="K8" s="37" t="inlineStr">
        <is>
          <t>Hotel: DB press + raises. No gym: pike push-ups, band laterals, backpack press.</t>
        </is>
      </c>
      <c r="L8" s="37" t="inlineStr">
        <is>
          <t>Accumulation. OHP 4x6 at RPE 7 (2-3 RIR); strict laterals. Threshold should feel 'comfortably hard', short phrases only.</t>
        </is>
      </c>
      <c r="M8" s="45" t="n"/>
      <c r="N8" s="45" t="n"/>
      <c r="O8" s="46" t="n"/>
    </row>
    <row r="9" ht="50" customHeight="1">
      <c r="A9" s="28" t="n">
        <v>5</v>
      </c>
      <c r="B9" s="28" t="n">
        <v>1</v>
      </c>
      <c r="C9" s="43" t="n">
        <v>46199</v>
      </c>
      <c r="D9" s="28" t="inlineStr">
        <is>
          <t>Friday</t>
        </is>
      </c>
      <c r="E9" s="44" t="inlineStr">
        <is>
          <t>Chest + Back Density</t>
        </is>
      </c>
      <c r="F9" s="37" t="inlineStr">
        <is>
          <t>Bench / row superset 4x6. Incline press, Chest-supported row, Cable fly, Lat pulldown 3x8-10.</t>
        </is>
      </c>
      <c r="G9" s="37" t="inlineStr">
        <is>
          <t>Hybrid 3 rounds: 40m carry + 12 burpees + 20 lunges</t>
        </is>
      </c>
      <c r="H9" s="28" t="inlineStr">
        <is>
          <t>Moderate</t>
        </is>
      </c>
      <c r="I9" s="37" t="inlineStr">
        <is>
          <t>Full upper-body flush, 10 min</t>
        </is>
      </c>
      <c r="J9" s="37" t="inlineStr">
        <is>
          <t>5 min intention setting</t>
        </is>
      </c>
      <c r="K9" s="37" t="inlineStr">
        <is>
          <t>Hotel: DB density supersets. No gym: push-up/row ladders + loaded carries with bags.</t>
        </is>
      </c>
      <c r="L9" s="37" t="inlineStr">
        <is>
          <t>Accumulation. Minimise rest, chase the pump at RPE 7 (2-3 RIR). Hybrid finisher: carries, burpees, lunges — no rower.</t>
        </is>
      </c>
      <c r="M9" s="45" t="n"/>
      <c r="N9" s="45" t="n"/>
      <c r="O9" s="46" t="n"/>
    </row>
    <row r="10" ht="50" customHeight="1">
      <c r="A10" s="28" t="n">
        <v>6</v>
      </c>
      <c r="B10" s="28" t="n">
        <v>1</v>
      </c>
      <c r="C10" s="43" t="n">
        <v>46200</v>
      </c>
      <c r="D10" s="28" t="inlineStr">
        <is>
          <t>Saturday</t>
        </is>
      </c>
      <c r="E10" s="44" t="inlineStr">
        <is>
          <t>Legs + Posterior Chain</t>
        </is>
      </c>
      <c r="F10" s="37" t="inlineStr">
        <is>
          <t>Deadlift / RDL 4x6. Front squat, Hip thrust, Nordic curl, Back extension 3x8-10.</t>
        </is>
      </c>
      <c r="G10" s="37" t="inlineStr">
        <is>
          <t>Long Ride 1h30 Zone 2 @ 120-161W</t>
        </is>
      </c>
      <c r="H10" s="28" t="inlineStr">
        <is>
          <t>Long</t>
        </is>
      </c>
      <c r="I10" s="37" t="inlineStr">
        <is>
          <t>Hamstring + glute release, 12 min</t>
        </is>
      </c>
      <c r="J10" s="37" t="inlineStr">
        <is>
          <t>10 min outdoor mindfulness</t>
        </is>
      </c>
      <c r="K10" s="37" t="inlineStr">
        <is>
          <t>Hotel: DB RDL + hip thrust. No gym: single-leg RDL, hip bridges, long Zone 2 ride/run.</t>
        </is>
      </c>
      <c r="L10" s="37" t="inlineStr">
        <is>
          <t>Accumulation. Heavy posterior chain 4x6 at RPE 7 (2-3 RIR). Fuel the long ride hourly to protect fat loss &amp; recovery.</t>
        </is>
      </c>
      <c r="M10" s="45" t="n"/>
      <c r="N10" s="45" t="n"/>
      <c r="O10" s="46" t="n"/>
    </row>
    <row r="11" ht="50" customHeight="1">
      <c r="A11" s="28" t="n">
        <v>7</v>
      </c>
      <c r="B11" s="28" t="n">
        <v>1</v>
      </c>
      <c r="C11" s="43" t="n">
        <v>46201</v>
      </c>
      <c r="D11" s="28" t="inlineStr">
        <is>
          <t>Sunday</t>
        </is>
      </c>
      <c r="E11" s="44" t="inlineStr">
        <is>
          <t>Arms + Core</t>
        </is>
      </c>
      <c r="F11" s="37" t="inlineStr">
        <is>
          <t>Barbell curl 4x6. Hammer curl, Skullcrusher, Rope pushdown, Hanging leg raise, Plank, Pallof press 3x8-10.</t>
        </is>
      </c>
      <c r="G11" s="37" t="inlineStr">
        <is>
          <t>Long Run 45 min easy (Zone 2)</t>
        </is>
      </c>
      <c r="H11" s="28" t="inlineStr">
        <is>
          <t>Long</t>
        </is>
      </c>
      <c r="I11" s="37" t="inlineStr">
        <is>
          <t>Spine + hip flow, 12 min</t>
        </is>
      </c>
      <c r="J11" s="37" t="inlineStr">
        <is>
          <t>10 min reflection / week review</t>
        </is>
      </c>
      <c r="K11" s="37" t="inlineStr">
        <is>
          <t>Hotel: DB arms + core circuit. No gym: band curls, dips, planks, long easy run.</t>
        </is>
      </c>
      <c r="L11" s="37" t="inlineStr">
        <is>
          <t>Accumulation. Arms &amp; core at RPE 7 (2-3 RIR). Long run is 80% easy volume — keep it conversational. Log the week's wins.</t>
        </is>
      </c>
      <c r="M11" s="45" t="n"/>
      <c r="N11" s="45" t="n"/>
      <c r="O11" s="46" t="n"/>
    </row>
    <row r="12" ht="50" customHeight="1">
      <c r="A12" s="47" t="n">
        <v>8</v>
      </c>
      <c r="B12" s="47" t="n">
        <v>2</v>
      </c>
      <c r="C12" s="48" t="n">
        <v>46202</v>
      </c>
      <c r="D12" s="47" t="inlineStr">
        <is>
          <t>Monday</t>
        </is>
      </c>
      <c r="E12" s="49" t="inlineStr">
        <is>
          <t>Chest + Biceps</t>
        </is>
      </c>
      <c r="F12" s="50" t="inlineStr">
        <is>
          <t>Barbell bench press 5x5. Incline DB press, Weighted dip, Cable fly, EZ-bar curl, Incline DB curl, Cable curl 4x10-12.</t>
        </is>
      </c>
      <c r="G12" s="50" t="inlineStr">
        <is>
          <t>Zone 2 Cycle 40 min @ 122-163W</t>
        </is>
      </c>
      <c r="H12" s="47" t="inlineStr">
        <is>
          <t>Easy</t>
        </is>
      </c>
      <c r="I12" s="50" t="inlineStr">
        <is>
          <t>Thoracic opener + pec stretch, 10 min</t>
        </is>
      </c>
      <c r="J12" s="50" t="inlineStr">
        <is>
          <t>5 min box breathing</t>
        </is>
      </c>
      <c r="K12" s="50" t="inlineStr">
        <is>
          <t>Hotel: DB press + DB curls. No gym: deep push-ups, band curls, slow tempo.</t>
        </is>
      </c>
      <c r="L12" s="50" t="inlineStr">
        <is>
          <t>Progression week. Bench 5x5 at RPE 7-8 (2 RIR); accessories 4x10-12. Cycle is true Zone 2 recovery — nose-breathing only.</t>
        </is>
      </c>
      <c r="M12" s="45" t="n"/>
      <c r="N12" s="45" t="n"/>
      <c r="O12" s="46" t="n"/>
    </row>
    <row r="13" ht="50" customHeight="1">
      <c r="A13" s="47" t="n">
        <v>9</v>
      </c>
      <c r="B13" s="47" t="n">
        <v>2</v>
      </c>
      <c r="C13" s="48" t="n">
        <v>46203</v>
      </c>
      <c r="D13" s="47" t="inlineStr">
        <is>
          <t>Tuesday</t>
        </is>
      </c>
      <c r="E13" s="49" t="inlineStr">
        <is>
          <t>Back + Triceps</t>
        </is>
      </c>
      <c r="F13" s="50" t="inlineStr">
        <is>
          <t>Weighted pull-up 5x5. Barbell row, Lat pulldown, Face pull, Close-grip bench, Rope pushdown, Overhead extension 4x10-12.</t>
        </is>
      </c>
      <c r="G13" s="50" t="inlineStr">
        <is>
          <t>VO2 Bike 5x3min @ 231-261W / 3min easy</t>
        </is>
      </c>
      <c r="H13" s="47" t="inlineStr">
        <is>
          <t>Hard</t>
        </is>
      </c>
      <c r="I13" s="50" t="inlineStr">
        <is>
          <t>Lat + lower-back decompression, 10 min</t>
        </is>
      </c>
      <c r="J13" s="50" t="inlineStr">
        <is>
          <t>5 min gratitude journaling</t>
        </is>
      </c>
      <c r="K13" s="50" t="inlineStr">
        <is>
          <t>Hotel: DB row + bench dips. No gym: doorway rows, band pulldown, diamond push-ups.</t>
        </is>
      </c>
      <c r="L13" s="50" t="inlineStr">
        <is>
          <t>Progression. Pulls 5x5 at RPE 7-8 (2 RIR). Fully recover between VO2 reps so you hit the watts every interval.</t>
        </is>
      </c>
      <c r="M13" s="45" t="n"/>
      <c r="N13" s="45" t="n"/>
      <c r="O13" s="46" t="n"/>
    </row>
    <row r="14" ht="50" customHeight="1">
      <c r="A14" s="47" t="n">
        <v>10</v>
      </c>
      <c r="B14" s="47" t="n">
        <v>2</v>
      </c>
      <c r="C14" s="48" t="n">
        <v>46204</v>
      </c>
      <c r="D14" s="47" t="inlineStr">
        <is>
          <t>Wednesday</t>
        </is>
      </c>
      <c r="E14" s="49" t="inlineStr">
        <is>
          <t>Legs Volume</t>
        </is>
      </c>
      <c r="F14" s="50" t="inlineStr">
        <is>
          <t>Back squat 5x5. Leg press, Walking lunge, Leg curl, Calf raise 4x10-12.</t>
        </is>
      </c>
      <c r="G14" s="50" t="inlineStr">
        <is>
          <t>Easy Run 30 min conversational (Zone 2)</t>
        </is>
      </c>
      <c r="H14" s="47" t="inlineStr">
        <is>
          <t>Easy</t>
        </is>
      </c>
      <c r="I14" s="50" t="inlineStr">
        <is>
          <t>Hip flexor + ankle mobility, 10 min</t>
        </is>
      </c>
      <c r="J14" s="50" t="inlineStr">
        <is>
          <t>5 min body scan</t>
        </is>
      </c>
      <c r="K14" s="50" t="inlineStr">
        <is>
          <t>Hotel: goblet squat + DB lunge. No gym: Bulgarian split squat, step-ups, tempo squats.</t>
        </is>
      </c>
      <c r="L14" s="50" t="inlineStr">
        <is>
          <t>Progression. Squat 5x5 at RPE 7-8 (2 RIR), accessories 4x10-12. Keep the run genuinely easy to aid leg recovery.</t>
        </is>
      </c>
      <c r="M14" s="45" t="n"/>
      <c r="N14" s="45" t="n"/>
      <c r="O14" s="46" t="n"/>
    </row>
    <row r="15" ht="50" customHeight="1">
      <c r="A15" s="47" t="n">
        <v>11</v>
      </c>
      <c r="B15" s="47" t="n">
        <v>2</v>
      </c>
      <c r="C15" s="48" t="n">
        <v>46205</v>
      </c>
      <c r="D15" s="47" t="inlineStr">
        <is>
          <t>Thursday</t>
        </is>
      </c>
      <c r="E15" s="49" t="inlineStr">
        <is>
          <t>Shoulders</t>
        </is>
      </c>
      <c r="F15" s="50" t="inlineStr">
        <is>
          <t>Overhead press 5x5. DB lateral raise, Rear-delt fly, Upright row, Shrug 4x10-12.</t>
        </is>
      </c>
      <c r="G15" s="50" t="inlineStr">
        <is>
          <t>Threshold Cycle 2x12min @ 198-228W</t>
        </is>
      </c>
      <c r="H15" s="47" t="inlineStr">
        <is>
          <t>Hard</t>
        </is>
      </c>
      <c r="I15" s="50" t="inlineStr">
        <is>
          <t>Shoulder CARs + band dislocates, 10 min</t>
        </is>
      </c>
      <c r="J15" s="50" t="inlineStr">
        <is>
          <t>5 min focus meditation</t>
        </is>
      </c>
      <c r="K15" s="50" t="inlineStr">
        <is>
          <t>Hotel: DB press + raises. No gym: pike push-ups, band laterals, backpack press.</t>
        </is>
      </c>
      <c r="L15" s="50" t="inlineStr">
        <is>
          <t>Progression. OHP 5x5 at RPE 7-8 (2 RIR); strict laterals. Threshold should feel 'comfortably hard', short phrases only.</t>
        </is>
      </c>
      <c r="M15" s="45" t="n"/>
      <c r="N15" s="45" t="n"/>
      <c r="O15" s="46" t="n"/>
    </row>
    <row r="16" ht="50" customHeight="1">
      <c r="A16" s="47" t="n">
        <v>12</v>
      </c>
      <c r="B16" s="47" t="n">
        <v>2</v>
      </c>
      <c r="C16" s="48" t="n">
        <v>46206</v>
      </c>
      <c r="D16" s="47" t="inlineStr">
        <is>
          <t>Friday</t>
        </is>
      </c>
      <c r="E16" s="49" t="inlineStr">
        <is>
          <t>Chest + Back Density</t>
        </is>
      </c>
      <c r="F16" s="50" t="inlineStr">
        <is>
          <t>Bench / row superset 5x5. Incline press, Chest-supported row, Cable fly, Lat pulldown 4x10-12.</t>
        </is>
      </c>
      <c r="G16" s="50" t="inlineStr">
        <is>
          <t>Hybrid 4 rounds: 40m carry + 12 burpees + 20 lunges</t>
        </is>
      </c>
      <c r="H16" s="47" t="inlineStr">
        <is>
          <t>Moderate</t>
        </is>
      </c>
      <c r="I16" s="50" t="inlineStr">
        <is>
          <t>Full upper-body flush, 10 min</t>
        </is>
      </c>
      <c r="J16" s="50" t="inlineStr">
        <is>
          <t>5 min intention setting</t>
        </is>
      </c>
      <c r="K16" s="50" t="inlineStr">
        <is>
          <t>Hotel: DB density supersets. No gym: push-up/row ladders + loaded carries with bags.</t>
        </is>
      </c>
      <c r="L16" s="50" t="inlineStr">
        <is>
          <t>Progression. Minimise rest, chase the pump at RPE 7-8 (2 RIR). Hybrid finisher: carries, burpees, lunges — no rower.</t>
        </is>
      </c>
      <c r="M16" s="45" t="n"/>
      <c r="N16" s="45" t="n"/>
      <c r="O16" s="46" t="n"/>
    </row>
    <row r="17" ht="50" customHeight="1">
      <c r="A17" s="47" t="n">
        <v>13</v>
      </c>
      <c r="B17" s="47" t="n">
        <v>2</v>
      </c>
      <c r="C17" s="48" t="n">
        <v>46207</v>
      </c>
      <c r="D17" s="47" t="inlineStr">
        <is>
          <t>Saturday</t>
        </is>
      </c>
      <c r="E17" s="49" t="inlineStr">
        <is>
          <t>Legs + Posterior Chain</t>
        </is>
      </c>
      <c r="F17" s="50" t="inlineStr">
        <is>
          <t>Deadlift / RDL 5x5. Front squat, Hip thrust, Nordic curl, Back extension 4x10-12.</t>
        </is>
      </c>
      <c r="G17" s="50" t="inlineStr">
        <is>
          <t>Long Ride 1h30 Zone 2 @ 122-163W</t>
        </is>
      </c>
      <c r="H17" s="47" t="inlineStr">
        <is>
          <t>Long</t>
        </is>
      </c>
      <c r="I17" s="50" t="inlineStr">
        <is>
          <t>Hamstring + glute release, 12 min</t>
        </is>
      </c>
      <c r="J17" s="50" t="inlineStr">
        <is>
          <t>10 min outdoor mindfulness</t>
        </is>
      </c>
      <c r="K17" s="50" t="inlineStr">
        <is>
          <t>Hotel: DB RDL + hip thrust. No gym: single-leg RDL, hip bridges, long Zone 2 ride/run.</t>
        </is>
      </c>
      <c r="L17" s="50" t="inlineStr">
        <is>
          <t>Progression. Heavy posterior chain 5x5 at RPE 7-8 (2 RIR). Fuel the long ride hourly to protect fat loss &amp; recovery.</t>
        </is>
      </c>
      <c r="M17" s="45" t="n"/>
      <c r="N17" s="45" t="n"/>
      <c r="O17" s="46" t="n"/>
    </row>
    <row r="18" ht="50" customHeight="1">
      <c r="A18" s="47" t="n">
        <v>14</v>
      </c>
      <c r="B18" s="47" t="n">
        <v>2</v>
      </c>
      <c r="C18" s="48" t="n">
        <v>46208</v>
      </c>
      <c r="D18" s="47" t="inlineStr">
        <is>
          <t>Sunday</t>
        </is>
      </c>
      <c r="E18" s="49" t="inlineStr">
        <is>
          <t>Arms + Core</t>
        </is>
      </c>
      <c r="F18" s="50" t="inlineStr">
        <is>
          <t>Barbell curl 5x5. Hammer curl, Skullcrusher, Rope pushdown, Hanging leg raise, Plank, Pallof press 4x10-12.</t>
        </is>
      </c>
      <c r="G18" s="50" t="inlineStr">
        <is>
          <t>Long Run 45 min easy (Zone 2)</t>
        </is>
      </c>
      <c r="H18" s="47" t="inlineStr">
        <is>
          <t>Long</t>
        </is>
      </c>
      <c r="I18" s="50" t="inlineStr">
        <is>
          <t>Spine + hip flow, 12 min</t>
        </is>
      </c>
      <c r="J18" s="50" t="inlineStr">
        <is>
          <t>10 min reflection / week review</t>
        </is>
      </c>
      <c r="K18" s="50" t="inlineStr">
        <is>
          <t>Hotel: DB arms + core circuit. No gym: band curls, dips, planks, long easy run.</t>
        </is>
      </c>
      <c r="L18" s="50" t="inlineStr">
        <is>
          <t>Progression. Arms &amp; core at RPE 7-8 (2 RIR). Long run is 80% easy volume — keep it conversational. Log the week's wins.</t>
        </is>
      </c>
      <c r="M18" s="45" t="n"/>
      <c r="N18" s="45" t="n"/>
      <c r="O18" s="46" t="n"/>
    </row>
    <row r="19" ht="50" customHeight="1">
      <c r="A19" s="28" t="n">
        <v>15</v>
      </c>
      <c r="B19" s="28" t="n">
        <v>3</v>
      </c>
      <c r="C19" s="43" t="n">
        <v>46209</v>
      </c>
      <c r="D19" s="28" t="inlineStr">
        <is>
          <t>Monday</t>
        </is>
      </c>
      <c r="E19" s="44" t="inlineStr">
        <is>
          <t>Chest + Biceps</t>
        </is>
      </c>
      <c r="F19" s="37" t="inlineStr">
        <is>
          <t>Barbell bench press 5x5 (RPE8). Incline DB press, Weighted dip, Cable fly, EZ-bar curl, Incline DB curl, Cable curl 4x12-15.</t>
        </is>
      </c>
      <c r="G19" s="37" t="inlineStr">
        <is>
          <t>Zone 2 Cycle 50 min @ 123-165W</t>
        </is>
      </c>
      <c r="H19" s="28" t="inlineStr">
        <is>
          <t>Easy</t>
        </is>
      </c>
      <c r="I19" s="37" t="inlineStr">
        <is>
          <t>Thoracic opener + pec stretch, 10 min</t>
        </is>
      </c>
      <c r="J19" s="37" t="inlineStr">
        <is>
          <t>5 min box breathing</t>
        </is>
      </c>
      <c r="K19" s="37" t="inlineStr">
        <is>
          <t>Hotel: DB press + DB curls. No gym: deep push-ups, band curls, slow tempo.</t>
        </is>
      </c>
      <c r="L19" s="37" t="inlineStr">
        <is>
          <t>Peak Volume week. Bench 5x5 (RPE8) at RPE 8 (1-2 RIR); accessories 4x12-15. Cycle is true Zone 2 recovery — nose-breathing only.</t>
        </is>
      </c>
      <c r="M19" s="45" t="n"/>
      <c r="N19" s="45" t="n"/>
      <c r="O19" s="46" t="n"/>
    </row>
    <row r="20" ht="50" customHeight="1">
      <c r="A20" s="28" t="n">
        <v>16</v>
      </c>
      <c r="B20" s="28" t="n">
        <v>3</v>
      </c>
      <c r="C20" s="43" t="n">
        <v>46210</v>
      </c>
      <c r="D20" s="28" t="inlineStr">
        <is>
          <t>Tuesday</t>
        </is>
      </c>
      <c r="E20" s="44" t="inlineStr">
        <is>
          <t>Back + Triceps</t>
        </is>
      </c>
      <c r="F20" s="37" t="inlineStr">
        <is>
          <t>Weighted pull-up 5x5 (RPE8). Barbell row, Lat pulldown, Face pull, Close-grip bench, Rope pushdown, Overhead extension 4x12-15.</t>
        </is>
      </c>
      <c r="G20" s="37" t="inlineStr">
        <is>
          <t>VO2 Bike 5x3min @ 233-264W / 3min easy</t>
        </is>
      </c>
      <c r="H20" s="28" t="inlineStr">
        <is>
          <t>Hard</t>
        </is>
      </c>
      <c r="I20" s="37" t="inlineStr">
        <is>
          <t>Lat + lower-back decompression, 10 min</t>
        </is>
      </c>
      <c r="J20" s="37" t="inlineStr">
        <is>
          <t>5 min gratitude journaling</t>
        </is>
      </c>
      <c r="K20" s="37" t="inlineStr">
        <is>
          <t>Hotel: DB row + bench dips. No gym: doorway rows, band pulldown, diamond push-ups.</t>
        </is>
      </c>
      <c r="L20" s="37" t="inlineStr">
        <is>
          <t>Peak Volume. Pulls 5x5 (RPE8) at RPE 8 (1-2 RIR). Fully recover between VO2 reps so you hit the watts every interval.</t>
        </is>
      </c>
      <c r="M20" s="45" t="n"/>
      <c r="N20" s="45" t="n"/>
      <c r="O20" s="46" t="n"/>
    </row>
    <row r="21" ht="50" customHeight="1">
      <c r="A21" s="28" t="n">
        <v>17</v>
      </c>
      <c r="B21" s="28" t="n">
        <v>3</v>
      </c>
      <c r="C21" s="43" t="n">
        <v>46211</v>
      </c>
      <c r="D21" s="28" t="inlineStr">
        <is>
          <t>Wednesday</t>
        </is>
      </c>
      <c r="E21" s="44" t="inlineStr">
        <is>
          <t>Legs Volume</t>
        </is>
      </c>
      <c r="F21" s="37" t="inlineStr">
        <is>
          <t>Back squat 5x5 (RPE8). Leg press, Walking lunge, Leg curl, Calf raise 4x12-15.</t>
        </is>
      </c>
      <c r="G21" s="37" t="inlineStr">
        <is>
          <t>Easy Run 35 min conversational (Zone 2)</t>
        </is>
      </c>
      <c r="H21" s="28" t="inlineStr">
        <is>
          <t>Easy</t>
        </is>
      </c>
      <c r="I21" s="37" t="inlineStr">
        <is>
          <t>Hip flexor + ankle mobility, 10 min</t>
        </is>
      </c>
      <c r="J21" s="37" t="inlineStr">
        <is>
          <t>5 min body scan</t>
        </is>
      </c>
      <c r="K21" s="37" t="inlineStr">
        <is>
          <t>Hotel: goblet squat + DB lunge. No gym: Bulgarian split squat, step-ups, tempo squats.</t>
        </is>
      </c>
      <c r="L21" s="37" t="inlineStr">
        <is>
          <t>Peak Volume. Squat 5x5 (RPE8) at RPE 8 (1-2 RIR), accessories 4x12-15. Keep the run genuinely easy to aid leg recovery.</t>
        </is>
      </c>
      <c r="M21" s="45" t="n"/>
      <c r="N21" s="45" t="n"/>
      <c r="O21" s="46" t="n"/>
    </row>
    <row r="22" ht="50" customHeight="1">
      <c r="A22" s="28" t="n">
        <v>18</v>
      </c>
      <c r="B22" s="28" t="n">
        <v>3</v>
      </c>
      <c r="C22" s="43" t="n">
        <v>46212</v>
      </c>
      <c r="D22" s="28" t="inlineStr">
        <is>
          <t>Thursday</t>
        </is>
      </c>
      <c r="E22" s="44" t="inlineStr">
        <is>
          <t>Shoulders</t>
        </is>
      </c>
      <c r="F22" s="37" t="inlineStr">
        <is>
          <t>Overhead press 5x5 (RPE8). DB lateral raise, Rear-delt fly, Upright row, Shrug 4x12-15.</t>
        </is>
      </c>
      <c r="G22" s="37" t="inlineStr">
        <is>
          <t>Threshold Cycle 3x12min @ 200-231W</t>
        </is>
      </c>
      <c r="H22" s="28" t="inlineStr">
        <is>
          <t>Hard</t>
        </is>
      </c>
      <c r="I22" s="37" t="inlineStr">
        <is>
          <t>Shoulder CARs + band dislocates, 10 min</t>
        </is>
      </c>
      <c r="J22" s="37" t="inlineStr">
        <is>
          <t>5 min focus meditation</t>
        </is>
      </c>
      <c r="K22" s="37" t="inlineStr">
        <is>
          <t>Hotel: DB press + raises. No gym: pike push-ups, band laterals, backpack press.</t>
        </is>
      </c>
      <c r="L22" s="37" t="inlineStr">
        <is>
          <t>Peak Volume. OHP 5x5 (RPE8) at RPE 8 (1-2 RIR); strict laterals. Threshold should feel 'comfortably hard', short phrases only.</t>
        </is>
      </c>
      <c r="M22" s="45" t="n"/>
      <c r="N22" s="45" t="n"/>
      <c r="O22" s="46" t="n"/>
    </row>
    <row r="23" ht="50" customHeight="1">
      <c r="A23" s="28" t="n">
        <v>19</v>
      </c>
      <c r="B23" s="28" t="n">
        <v>3</v>
      </c>
      <c r="C23" s="43" t="n">
        <v>46213</v>
      </c>
      <c r="D23" s="28" t="inlineStr">
        <is>
          <t>Friday</t>
        </is>
      </c>
      <c r="E23" s="44" t="inlineStr">
        <is>
          <t>Chest + Back Density</t>
        </is>
      </c>
      <c r="F23" s="37" t="inlineStr">
        <is>
          <t>Bench / row superset 5x5 (RPE8). Incline press, Chest-supported row, Cable fly, Lat pulldown 4x12-15.</t>
        </is>
      </c>
      <c r="G23" s="37" t="inlineStr">
        <is>
          <t>Hybrid 5 rounds: 40m carry + 12 burpees + 20 lunges</t>
        </is>
      </c>
      <c r="H23" s="28" t="inlineStr">
        <is>
          <t>Moderate</t>
        </is>
      </c>
      <c r="I23" s="37" t="inlineStr">
        <is>
          <t>Full upper-body flush, 10 min</t>
        </is>
      </c>
      <c r="J23" s="37" t="inlineStr">
        <is>
          <t>5 min intention setting</t>
        </is>
      </c>
      <c r="K23" s="37" t="inlineStr">
        <is>
          <t>Hotel: DB density supersets. No gym: push-up/row ladders + loaded carries with bags.</t>
        </is>
      </c>
      <c r="L23" s="37" t="inlineStr">
        <is>
          <t>Peak Volume. Minimise rest, chase the pump at RPE 8 (1-2 RIR). Hybrid finisher: carries, burpees, lunges — no rower.</t>
        </is>
      </c>
      <c r="M23" s="45" t="n"/>
      <c r="N23" s="45" t="n"/>
      <c r="O23" s="46" t="n"/>
    </row>
    <row r="24" ht="50" customHeight="1">
      <c r="A24" s="28" t="n">
        <v>20</v>
      </c>
      <c r="B24" s="28" t="n">
        <v>3</v>
      </c>
      <c r="C24" s="43" t="n">
        <v>46214</v>
      </c>
      <c r="D24" s="28" t="inlineStr">
        <is>
          <t>Saturday</t>
        </is>
      </c>
      <c r="E24" s="44" t="inlineStr">
        <is>
          <t>Legs + Posterior Chain</t>
        </is>
      </c>
      <c r="F24" s="37" t="inlineStr">
        <is>
          <t>Deadlift / RDL 5x5 (RPE8). Front squat, Hip thrust, Nordic curl, Back extension 4x12-15.</t>
        </is>
      </c>
      <c r="G24" s="37" t="inlineStr">
        <is>
          <t>Long Ride 1h45 Zone 2 @ 123-165W</t>
        </is>
      </c>
      <c r="H24" s="28" t="inlineStr">
        <is>
          <t>Long</t>
        </is>
      </c>
      <c r="I24" s="37" t="inlineStr">
        <is>
          <t>Hamstring + glute release, 12 min</t>
        </is>
      </c>
      <c r="J24" s="37" t="inlineStr">
        <is>
          <t>10 min outdoor mindfulness</t>
        </is>
      </c>
      <c r="K24" s="37" t="inlineStr">
        <is>
          <t>Hotel: DB RDL + hip thrust. No gym: single-leg RDL, hip bridges, long Zone 2 ride/run.</t>
        </is>
      </c>
      <c r="L24" s="37" t="inlineStr">
        <is>
          <t>Peak Volume. Heavy posterior chain 5x5 (RPE8) at RPE 8 (1-2 RIR). Fuel the long ride hourly to protect fat loss &amp; recovery.</t>
        </is>
      </c>
      <c r="M24" s="45" t="n"/>
      <c r="N24" s="45" t="n"/>
      <c r="O24" s="46" t="n"/>
    </row>
    <row r="25" ht="50" customHeight="1">
      <c r="A25" s="28" t="n">
        <v>21</v>
      </c>
      <c r="B25" s="28" t="n">
        <v>3</v>
      </c>
      <c r="C25" s="43" t="n">
        <v>46215</v>
      </c>
      <c r="D25" s="28" t="inlineStr">
        <is>
          <t>Sunday</t>
        </is>
      </c>
      <c r="E25" s="44" t="inlineStr">
        <is>
          <t>Arms + Core</t>
        </is>
      </c>
      <c r="F25" s="37" t="inlineStr">
        <is>
          <t>Barbell curl 5x5 (RPE8). Hammer curl, Skullcrusher, Rope pushdown, Hanging leg raise, Plank, Pallof press 4x12-15.</t>
        </is>
      </c>
      <c r="G25" s="37" t="inlineStr">
        <is>
          <t>Long Run 53 min easy (Zone 2)</t>
        </is>
      </c>
      <c r="H25" s="28" t="inlineStr">
        <is>
          <t>Long</t>
        </is>
      </c>
      <c r="I25" s="37" t="inlineStr">
        <is>
          <t>Spine + hip flow, 12 min</t>
        </is>
      </c>
      <c r="J25" s="37" t="inlineStr">
        <is>
          <t>10 min reflection / week review</t>
        </is>
      </c>
      <c r="K25" s="37" t="inlineStr">
        <is>
          <t>Hotel: DB arms + core circuit. No gym: band curls, dips, planks, long easy run.</t>
        </is>
      </c>
      <c r="L25" s="37" t="inlineStr">
        <is>
          <t>Peak Volume. Arms &amp; core at RPE 8 (1-2 RIR). Long run is 80% easy volume — keep it conversational. Log the week's wins.</t>
        </is>
      </c>
      <c r="M25" s="45" t="n"/>
      <c r="N25" s="45" t="n"/>
      <c r="O25" s="46" t="n"/>
    </row>
    <row r="26" ht="50" customHeight="1">
      <c r="A26" s="47" t="n">
        <v>22</v>
      </c>
      <c r="B26" s="47" t="n">
        <v>4</v>
      </c>
      <c r="C26" s="48" t="n">
        <v>46216</v>
      </c>
      <c r="D26" s="47" t="inlineStr">
        <is>
          <t>Monday</t>
        </is>
      </c>
      <c r="E26" s="49" t="inlineStr">
        <is>
          <t>Chest + Biceps</t>
        </is>
      </c>
      <c r="F26" s="50" t="inlineStr">
        <is>
          <t>DELOAD — Barbell bench press 3x5 light. Incline DB press, Weighted dip, Cable fly, EZ-bar curl, Incline DB curl, Cable curl 2x8 (-40% vol).</t>
        </is>
      </c>
      <c r="G26" s="50" t="inlineStr">
        <is>
          <t>Zone 2 Cycle 30 min @ 123-165W</t>
        </is>
      </c>
      <c r="H26" s="47" t="inlineStr">
        <is>
          <t>Easy</t>
        </is>
      </c>
      <c r="I26" s="50" t="inlineStr">
        <is>
          <t>Thoracic opener + pec stretch, 10 min</t>
        </is>
      </c>
      <c r="J26" s="50" t="inlineStr">
        <is>
          <t>5 min box breathing</t>
        </is>
      </c>
      <c r="K26" s="50" t="inlineStr">
        <is>
          <t>Hotel: DB press + DB curls. No gym: deep push-ups, band curls, slow tempo.</t>
        </is>
      </c>
      <c r="L26" s="50" t="inlineStr">
        <is>
          <t>Deload week. Bench 3x5 light at RPE 5-6 (deload); accessories 2x8 (-40% vol). Cycle is true Zone 2 recovery — nose-breathing only.</t>
        </is>
      </c>
      <c r="M26" s="45" t="n"/>
      <c r="N26" s="45" t="n"/>
      <c r="O26" s="46" t="n"/>
    </row>
    <row r="27" ht="50" customHeight="1">
      <c r="A27" s="47" t="n">
        <v>23</v>
      </c>
      <c r="B27" s="47" t="n">
        <v>4</v>
      </c>
      <c r="C27" s="48" t="n">
        <v>46217</v>
      </c>
      <c r="D27" s="47" t="inlineStr">
        <is>
          <t>Tuesday</t>
        </is>
      </c>
      <c r="E27" s="49" t="inlineStr">
        <is>
          <t>Back + Triceps</t>
        </is>
      </c>
      <c r="F27" s="50" t="inlineStr">
        <is>
          <t>DELOAD — Weighted pull-up 3x5 light. Barbell row, Lat pulldown, Face pull, Close-grip bench, Rope pushdown, Overhead extension 2x8 (-40% vol).</t>
        </is>
      </c>
      <c r="G27" s="50" t="inlineStr">
        <is>
          <t>VO2 Bike 3x3min @ 233-264W / 3min easy</t>
        </is>
      </c>
      <c r="H27" s="47" t="inlineStr">
        <is>
          <t>Moderate</t>
        </is>
      </c>
      <c r="I27" s="50" t="inlineStr">
        <is>
          <t>Lat + lower-back decompression, 10 min</t>
        </is>
      </c>
      <c r="J27" s="50" t="inlineStr">
        <is>
          <t>5 min gratitude journaling</t>
        </is>
      </c>
      <c r="K27" s="50" t="inlineStr">
        <is>
          <t>Hotel: DB row + bench dips. No gym: doorway rows, band pulldown, diamond push-ups.</t>
        </is>
      </c>
      <c r="L27" s="50" t="inlineStr">
        <is>
          <t>Deload. Pulls 3x5 light at RPE 5-6 (deload). Fully recover between VO2 reps so you hit the watts every interval.</t>
        </is>
      </c>
      <c r="M27" s="45" t="n"/>
      <c r="N27" s="45" t="n"/>
      <c r="O27" s="46" t="n"/>
    </row>
    <row r="28" ht="50" customHeight="1">
      <c r="A28" s="47" t="n">
        <v>24</v>
      </c>
      <c r="B28" s="47" t="n">
        <v>4</v>
      </c>
      <c r="C28" s="48" t="n">
        <v>46218</v>
      </c>
      <c r="D28" s="47" t="inlineStr">
        <is>
          <t>Wednesday</t>
        </is>
      </c>
      <c r="E28" s="49" t="inlineStr">
        <is>
          <t>Legs Volume</t>
        </is>
      </c>
      <c r="F28" s="50" t="inlineStr">
        <is>
          <t>DELOAD — Back squat 3x5 light. Leg press, Walking lunge, Leg curl, Calf raise 2x8 (-40% vol).</t>
        </is>
      </c>
      <c r="G28" s="50" t="inlineStr">
        <is>
          <t>Easy Run 25 min conversational (Zone 2)</t>
        </is>
      </c>
      <c r="H28" s="47" t="inlineStr">
        <is>
          <t>Easy</t>
        </is>
      </c>
      <c r="I28" s="50" t="inlineStr">
        <is>
          <t>Hip flexor + ankle mobility, 10 min</t>
        </is>
      </c>
      <c r="J28" s="50" t="inlineStr">
        <is>
          <t>5 min body scan</t>
        </is>
      </c>
      <c r="K28" s="50" t="inlineStr">
        <is>
          <t>Hotel: goblet squat + DB lunge. No gym: Bulgarian split squat, step-ups, tempo squats.</t>
        </is>
      </c>
      <c r="L28" s="50" t="inlineStr">
        <is>
          <t>Deload. Squat 3x5 light at RPE 5-6 (deload), accessories 2x8 (-40% vol). Keep the run genuinely easy to aid leg recovery.</t>
        </is>
      </c>
      <c r="M28" s="45" t="n"/>
      <c r="N28" s="45" t="n"/>
      <c r="O28" s="46" t="n"/>
    </row>
    <row r="29" ht="50" customHeight="1">
      <c r="A29" s="47" t="n">
        <v>25</v>
      </c>
      <c r="B29" s="47" t="n">
        <v>4</v>
      </c>
      <c r="C29" s="48" t="n">
        <v>46219</v>
      </c>
      <c r="D29" s="47" t="inlineStr">
        <is>
          <t>Thursday</t>
        </is>
      </c>
      <c r="E29" s="49" t="inlineStr">
        <is>
          <t>Shoulders</t>
        </is>
      </c>
      <c r="F29" s="50" t="inlineStr">
        <is>
          <t>DELOAD — Overhead press 3x5 light. DB lateral raise, Rear-delt fly, Upright row, Shrug 2x8 (-40% vol).</t>
        </is>
      </c>
      <c r="G29" s="50" t="inlineStr">
        <is>
          <t>Threshold Cycle 2x8min @ 200-231W</t>
        </is>
      </c>
      <c r="H29" s="47" t="inlineStr">
        <is>
          <t>Moderate</t>
        </is>
      </c>
      <c r="I29" s="50" t="inlineStr">
        <is>
          <t>Shoulder CARs + band dislocates, 10 min</t>
        </is>
      </c>
      <c r="J29" s="50" t="inlineStr">
        <is>
          <t>5 min focus meditation</t>
        </is>
      </c>
      <c r="K29" s="50" t="inlineStr">
        <is>
          <t>Hotel: DB press + raises. No gym: pike push-ups, band laterals, backpack press.</t>
        </is>
      </c>
      <c r="L29" s="50" t="inlineStr">
        <is>
          <t>Deload. OHP 3x5 light at RPE 5-6 (deload); strict laterals. Threshold should feel 'comfortably hard', short phrases only.</t>
        </is>
      </c>
      <c r="M29" s="45" t="n"/>
      <c r="N29" s="45" t="n"/>
      <c r="O29" s="46" t="n"/>
    </row>
    <row r="30" ht="50" customHeight="1">
      <c r="A30" s="47" t="n">
        <v>26</v>
      </c>
      <c r="B30" s="47" t="n">
        <v>4</v>
      </c>
      <c r="C30" s="48" t="n">
        <v>46220</v>
      </c>
      <c r="D30" s="47" t="inlineStr">
        <is>
          <t>Friday</t>
        </is>
      </c>
      <c r="E30" s="49" t="inlineStr">
        <is>
          <t>Chest + Back Density</t>
        </is>
      </c>
      <c r="F30" s="50" t="inlineStr">
        <is>
          <t>DELOAD — Bench / row superset 3x5 light. Incline press, Chest-supported row, Cable fly, Lat pulldown 2x8 (-40% vol).</t>
        </is>
      </c>
      <c r="G30" s="50" t="inlineStr">
        <is>
          <t>Hybrid 3 rounds: 40m carry + 12 burpees + 20 lunges</t>
        </is>
      </c>
      <c r="H30" s="47" t="inlineStr">
        <is>
          <t>Moderate</t>
        </is>
      </c>
      <c r="I30" s="50" t="inlineStr">
        <is>
          <t>Full upper-body flush, 10 min</t>
        </is>
      </c>
      <c r="J30" s="50" t="inlineStr">
        <is>
          <t>5 min intention setting</t>
        </is>
      </c>
      <c r="K30" s="50" t="inlineStr">
        <is>
          <t>Hotel: DB density supersets. No gym: push-up/row ladders + loaded carries with bags.</t>
        </is>
      </c>
      <c r="L30" s="50" t="inlineStr">
        <is>
          <t>Deload. Minimise rest, chase the pump at RPE 5-6 (deload). Hybrid finisher: carries, burpees, lunges — no rower.</t>
        </is>
      </c>
      <c r="M30" s="45" t="n"/>
      <c r="N30" s="45" t="n"/>
      <c r="O30" s="46" t="n"/>
    </row>
    <row r="31" ht="50" customHeight="1">
      <c r="A31" s="47" t="n">
        <v>27</v>
      </c>
      <c r="B31" s="47" t="n">
        <v>4</v>
      </c>
      <c r="C31" s="48" t="n">
        <v>46221</v>
      </c>
      <c r="D31" s="47" t="inlineStr">
        <is>
          <t>Saturday</t>
        </is>
      </c>
      <c r="E31" s="49" t="inlineStr">
        <is>
          <t>Legs + Posterior Chain</t>
        </is>
      </c>
      <c r="F31" s="50" t="inlineStr">
        <is>
          <t>DELOAD — Deadlift / RDL 3x5 light. Front squat, Hip thrust, Nordic curl, Back extension 2x8 (-40% vol).</t>
        </is>
      </c>
      <c r="G31" s="50" t="inlineStr">
        <is>
          <t>Long Ride 1h00 Zone 2 @ 123-165W</t>
        </is>
      </c>
      <c r="H31" s="47" t="inlineStr">
        <is>
          <t>Long</t>
        </is>
      </c>
      <c r="I31" s="50" t="inlineStr">
        <is>
          <t>Hamstring + glute release, 12 min</t>
        </is>
      </c>
      <c r="J31" s="50" t="inlineStr">
        <is>
          <t>10 min outdoor mindfulness</t>
        </is>
      </c>
      <c r="K31" s="50" t="inlineStr">
        <is>
          <t>Hotel: DB RDL + hip thrust. No gym: single-leg RDL, hip bridges, long Zone 2 ride/run.</t>
        </is>
      </c>
      <c r="L31" s="50" t="inlineStr">
        <is>
          <t>Deload. Heavy posterior chain 3x5 light at RPE 5-6 (deload). Fuel the long ride hourly to protect fat loss &amp; recovery.</t>
        </is>
      </c>
      <c r="M31" s="45" t="n"/>
      <c r="N31" s="45" t="n"/>
      <c r="O31" s="46" t="n"/>
    </row>
    <row r="32" ht="50" customHeight="1">
      <c r="A32" s="47" t="n">
        <v>28</v>
      </c>
      <c r="B32" s="47" t="n">
        <v>4</v>
      </c>
      <c r="C32" s="48" t="n">
        <v>46222</v>
      </c>
      <c r="D32" s="47" t="inlineStr">
        <is>
          <t>Sunday</t>
        </is>
      </c>
      <c r="E32" s="49" t="inlineStr">
        <is>
          <t>Arms + Core</t>
        </is>
      </c>
      <c r="F32" s="50" t="inlineStr">
        <is>
          <t>DELOAD — Barbell curl 3x5 light. Hammer curl, Skullcrusher, Rope pushdown, Hanging leg raise, Plank, Pallof press 2x8 (-40% vol).</t>
        </is>
      </c>
      <c r="G32" s="50" t="inlineStr">
        <is>
          <t>Long Run 35 min easy (Zone 2)</t>
        </is>
      </c>
      <c r="H32" s="47" t="inlineStr">
        <is>
          <t>Long</t>
        </is>
      </c>
      <c r="I32" s="50" t="inlineStr">
        <is>
          <t>Spine + hip flow, 12 min</t>
        </is>
      </c>
      <c r="J32" s="50" t="inlineStr">
        <is>
          <t>10 min reflection / week review</t>
        </is>
      </c>
      <c r="K32" s="50" t="inlineStr">
        <is>
          <t>Hotel: DB arms + core circuit. No gym: band curls, dips, planks, long easy run.</t>
        </is>
      </c>
      <c r="L32" s="50" t="inlineStr">
        <is>
          <t>Deload. Arms &amp; core at RPE 5-6 (deload). Long run is 80% easy volume — keep it conversational. Log the week's wins.</t>
        </is>
      </c>
      <c r="M32" s="45" t="n"/>
      <c r="N32" s="45" t="n"/>
      <c r="O32" s="46" t="n"/>
    </row>
    <row r="33" ht="50" customHeight="1">
      <c r="A33" s="28" t="n">
        <v>29</v>
      </c>
      <c r="B33" s="28" t="n">
        <v>5</v>
      </c>
      <c r="C33" s="43" t="n">
        <v>46223</v>
      </c>
      <c r="D33" s="28" t="inlineStr">
        <is>
          <t>Monday</t>
        </is>
      </c>
      <c r="E33" s="44" t="inlineStr">
        <is>
          <t>Chest + Biceps</t>
        </is>
      </c>
      <c r="F33" s="37" t="inlineStr">
        <is>
          <t>Barbell bench press 4x6. Incline DB press, Weighted dip, Cable fly, EZ-bar curl, Incline DB curl, Cable curl 3x8-10.</t>
        </is>
      </c>
      <c r="G33" s="37" t="inlineStr">
        <is>
          <t>Zone 2 Cycle 45 min @ 126-168W</t>
        </is>
      </c>
      <c r="H33" s="28" t="inlineStr">
        <is>
          <t>Easy</t>
        </is>
      </c>
      <c r="I33" s="37" t="inlineStr">
        <is>
          <t>Thoracic opener + pec stretch, 10 min</t>
        </is>
      </c>
      <c r="J33" s="37" t="inlineStr">
        <is>
          <t>5 min box breathing</t>
        </is>
      </c>
      <c r="K33" s="37" t="inlineStr">
        <is>
          <t>Hotel: DB press + DB curls. No gym: deep push-ups, band curls, slow tempo.</t>
        </is>
      </c>
      <c r="L33" s="37" t="inlineStr">
        <is>
          <t>Accumulation week. Bench 4x6 at RPE 7 (2-3 RIR); accessories 3x8-10. Cycle is true Zone 2 recovery — nose-breathing only.</t>
        </is>
      </c>
      <c r="M33" s="45" t="n"/>
      <c r="N33" s="45" t="n"/>
      <c r="O33" s="46" t="n"/>
    </row>
    <row r="34" ht="50" customHeight="1">
      <c r="A34" s="28" t="n">
        <v>30</v>
      </c>
      <c r="B34" s="28" t="n">
        <v>5</v>
      </c>
      <c r="C34" s="43" t="n">
        <v>46224</v>
      </c>
      <c r="D34" s="28" t="inlineStr">
        <is>
          <t>Tuesday</t>
        </is>
      </c>
      <c r="E34" s="44" t="inlineStr">
        <is>
          <t>Back + Triceps</t>
        </is>
      </c>
      <c r="F34" s="37" t="inlineStr">
        <is>
          <t>Weighted pull-up 4x6. Barbell row, Lat pulldown, Face pull, Close-grip bench, Rope pushdown, Overhead extension 3x8-10.</t>
        </is>
      </c>
      <c r="G34" s="37" t="inlineStr">
        <is>
          <t>VO2 Bike 5x3min @ 238-270W / 3min easy</t>
        </is>
      </c>
      <c r="H34" s="28" t="inlineStr">
        <is>
          <t>Hard</t>
        </is>
      </c>
      <c r="I34" s="37" t="inlineStr">
        <is>
          <t>Lat + lower-back decompression, 10 min</t>
        </is>
      </c>
      <c r="J34" s="37" t="inlineStr">
        <is>
          <t>5 min gratitude journaling</t>
        </is>
      </c>
      <c r="K34" s="37" t="inlineStr">
        <is>
          <t>Hotel: DB row + bench dips. No gym: doorway rows, band pulldown, diamond push-ups.</t>
        </is>
      </c>
      <c r="L34" s="37" t="inlineStr">
        <is>
          <t>Accumulation. Pulls 4x6 at RPE 7 (2-3 RIR). Fully recover between VO2 reps so you hit the watts every interval.</t>
        </is>
      </c>
      <c r="M34" s="45" t="n"/>
      <c r="N34" s="45" t="n"/>
      <c r="O34" s="46" t="n"/>
    </row>
    <row r="35" ht="50" customHeight="1">
      <c r="A35" s="28" t="n">
        <v>31</v>
      </c>
      <c r="B35" s="28" t="n">
        <v>5</v>
      </c>
      <c r="C35" s="43" t="n">
        <v>46225</v>
      </c>
      <c r="D35" s="28" t="inlineStr">
        <is>
          <t>Wednesday</t>
        </is>
      </c>
      <c r="E35" s="44" t="inlineStr">
        <is>
          <t>Legs Volume</t>
        </is>
      </c>
      <c r="F35" s="37" t="inlineStr">
        <is>
          <t>Back squat 4x6. Leg press, Walking lunge, Leg curl, Calf raise 3x8-10.</t>
        </is>
      </c>
      <c r="G35" s="37" t="inlineStr">
        <is>
          <t>Easy Run 35 min conversational (Zone 2)</t>
        </is>
      </c>
      <c r="H35" s="28" t="inlineStr">
        <is>
          <t>Easy</t>
        </is>
      </c>
      <c r="I35" s="37" t="inlineStr">
        <is>
          <t>Hip flexor + ankle mobility, 10 min</t>
        </is>
      </c>
      <c r="J35" s="37" t="inlineStr">
        <is>
          <t>5 min body scan</t>
        </is>
      </c>
      <c r="K35" s="37" t="inlineStr">
        <is>
          <t>Hotel: goblet squat + DB lunge. No gym: Bulgarian split squat, step-ups, tempo squats.</t>
        </is>
      </c>
      <c r="L35" s="37" t="inlineStr">
        <is>
          <t>Accumulation. Squat 4x6 at RPE 7 (2-3 RIR), accessories 3x8-10. Keep the run genuinely easy to aid leg recovery.</t>
        </is>
      </c>
      <c r="M35" s="45" t="n"/>
      <c r="N35" s="45" t="n"/>
      <c r="O35" s="46" t="n"/>
    </row>
    <row r="36" ht="50" customHeight="1">
      <c r="A36" s="28" t="n">
        <v>32</v>
      </c>
      <c r="B36" s="28" t="n">
        <v>5</v>
      </c>
      <c r="C36" s="43" t="n">
        <v>46226</v>
      </c>
      <c r="D36" s="28" t="inlineStr">
        <is>
          <t>Thursday</t>
        </is>
      </c>
      <c r="E36" s="44" t="inlineStr">
        <is>
          <t>Shoulders</t>
        </is>
      </c>
      <c r="F36" s="37" t="inlineStr">
        <is>
          <t>Overhead press 4x6. DB lateral raise, Rear-delt fly, Upright row, Shrug 3x8-10.</t>
        </is>
      </c>
      <c r="G36" s="37" t="inlineStr">
        <is>
          <t>Threshold Cycle 2x10min @ 204-236W</t>
        </is>
      </c>
      <c r="H36" s="28" t="inlineStr">
        <is>
          <t>Hard</t>
        </is>
      </c>
      <c r="I36" s="37" t="inlineStr">
        <is>
          <t>Shoulder CARs + band dislocates, 10 min</t>
        </is>
      </c>
      <c r="J36" s="37" t="inlineStr">
        <is>
          <t>5 min focus meditation</t>
        </is>
      </c>
      <c r="K36" s="37" t="inlineStr">
        <is>
          <t>Hotel: DB press + raises. No gym: pike push-ups, band laterals, backpack press.</t>
        </is>
      </c>
      <c r="L36" s="37" t="inlineStr">
        <is>
          <t>Accumulation. OHP 4x6 at RPE 7 (2-3 RIR); strict laterals. Threshold should feel 'comfortably hard', short phrases only.</t>
        </is>
      </c>
      <c r="M36" s="45" t="n"/>
      <c r="N36" s="45" t="n"/>
      <c r="O36" s="46" t="n"/>
    </row>
    <row r="37" ht="50" customHeight="1">
      <c r="A37" s="28" t="n">
        <v>33</v>
      </c>
      <c r="B37" s="28" t="n">
        <v>5</v>
      </c>
      <c r="C37" s="43" t="n">
        <v>46227</v>
      </c>
      <c r="D37" s="28" t="inlineStr">
        <is>
          <t>Friday</t>
        </is>
      </c>
      <c r="E37" s="44" t="inlineStr">
        <is>
          <t>Chest + Back Density</t>
        </is>
      </c>
      <c r="F37" s="37" t="inlineStr">
        <is>
          <t>Bench / row superset 4x6. Incline press, Chest-supported row, Cable fly, Lat pulldown 3x8-10.</t>
        </is>
      </c>
      <c r="G37" s="37" t="inlineStr">
        <is>
          <t>Hybrid 3 rounds: 40m carry + 12 burpees + 20 lunges</t>
        </is>
      </c>
      <c r="H37" s="28" t="inlineStr">
        <is>
          <t>Moderate</t>
        </is>
      </c>
      <c r="I37" s="37" t="inlineStr">
        <is>
          <t>Full upper-body flush, 10 min</t>
        </is>
      </c>
      <c r="J37" s="37" t="inlineStr">
        <is>
          <t>5 min intention setting</t>
        </is>
      </c>
      <c r="K37" s="37" t="inlineStr">
        <is>
          <t>Hotel: DB density supersets. No gym: push-up/row ladders + loaded carries with bags.</t>
        </is>
      </c>
      <c r="L37" s="37" t="inlineStr">
        <is>
          <t>Accumulation. Minimise rest, chase the pump at RPE 7 (2-3 RIR). Hybrid finisher: carries, burpees, lunges — no rower.</t>
        </is>
      </c>
      <c r="M37" s="45" t="n"/>
      <c r="N37" s="45" t="n"/>
      <c r="O37" s="46" t="n"/>
    </row>
    <row r="38" ht="50" customHeight="1">
      <c r="A38" s="28" t="n">
        <v>34</v>
      </c>
      <c r="B38" s="28" t="n">
        <v>5</v>
      </c>
      <c r="C38" s="43" t="n">
        <v>46228</v>
      </c>
      <c r="D38" s="28" t="inlineStr">
        <is>
          <t>Saturday</t>
        </is>
      </c>
      <c r="E38" s="44" t="inlineStr">
        <is>
          <t>Legs + Posterior Chain</t>
        </is>
      </c>
      <c r="F38" s="37" t="inlineStr">
        <is>
          <t>Deadlift / RDL 4x6. Front squat, Hip thrust, Nordic curl, Back extension 3x8-10.</t>
        </is>
      </c>
      <c r="G38" s="37" t="inlineStr">
        <is>
          <t>Long Ride 1h45 Zone 2 @ 126-168W</t>
        </is>
      </c>
      <c r="H38" s="28" t="inlineStr">
        <is>
          <t>Long</t>
        </is>
      </c>
      <c r="I38" s="37" t="inlineStr">
        <is>
          <t>Hamstring + glute release, 12 min</t>
        </is>
      </c>
      <c r="J38" s="37" t="inlineStr">
        <is>
          <t>10 min outdoor mindfulness</t>
        </is>
      </c>
      <c r="K38" s="37" t="inlineStr">
        <is>
          <t>Hotel: DB RDL + hip thrust. No gym: single-leg RDL, hip bridges, long Zone 2 ride/run.</t>
        </is>
      </c>
      <c r="L38" s="37" t="inlineStr">
        <is>
          <t>Accumulation. Heavy posterior chain 4x6 at RPE 7 (2-3 RIR). Fuel the long ride hourly to protect fat loss &amp; recovery.</t>
        </is>
      </c>
      <c r="M38" s="45" t="n"/>
      <c r="N38" s="45" t="n"/>
      <c r="O38" s="46" t="n"/>
    </row>
    <row r="39" ht="50" customHeight="1">
      <c r="A39" s="28" t="n">
        <v>35</v>
      </c>
      <c r="B39" s="28" t="n">
        <v>5</v>
      </c>
      <c r="C39" s="43" t="n">
        <v>46229</v>
      </c>
      <c r="D39" s="28" t="inlineStr">
        <is>
          <t>Sunday</t>
        </is>
      </c>
      <c r="E39" s="44" t="inlineStr">
        <is>
          <t>Arms + Core</t>
        </is>
      </c>
      <c r="F39" s="37" t="inlineStr">
        <is>
          <t>Barbell curl 4x6. Hammer curl, Skullcrusher, Rope pushdown, Hanging leg raise, Plank, Pallof press 3x8-10.</t>
        </is>
      </c>
      <c r="G39" s="37" t="inlineStr">
        <is>
          <t>Long Run 52 min easy (Zone 2)</t>
        </is>
      </c>
      <c r="H39" s="28" t="inlineStr">
        <is>
          <t>Long</t>
        </is>
      </c>
      <c r="I39" s="37" t="inlineStr">
        <is>
          <t>Spine + hip flow, 12 min</t>
        </is>
      </c>
      <c r="J39" s="37" t="inlineStr">
        <is>
          <t>10 min reflection / week review</t>
        </is>
      </c>
      <c r="K39" s="37" t="inlineStr">
        <is>
          <t>Hotel: DB arms + core circuit. No gym: band curls, dips, planks, long easy run.</t>
        </is>
      </c>
      <c r="L39" s="37" t="inlineStr">
        <is>
          <t>Accumulation. Arms &amp; core at RPE 7 (2-3 RIR). Long run is 80% easy volume — keep it conversational. Log the week's wins.</t>
        </is>
      </c>
      <c r="M39" s="45" t="n"/>
      <c r="N39" s="45" t="n"/>
      <c r="O39" s="46" t="n"/>
    </row>
    <row r="40" ht="50" customHeight="1">
      <c r="A40" s="47" t="n">
        <v>36</v>
      </c>
      <c r="B40" s="47" t="n">
        <v>6</v>
      </c>
      <c r="C40" s="48" t="n">
        <v>46230</v>
      </c>
      <c r="D40" s="47" t="inlineStr">
        <is>
          <t>Monday</t>
        </is>
      </c>
      <c r="E40" s="49" t="inlineStr">
        <is>
          <t>Chest + Biceps</t>
        </is>
      </c>
      <c r="F40" s="50" t="inlineStr">
        <is>
          <t>Barbell bench press 5x5. Incline DB press, Weighted dip, Cable fly, EZ-bar curl, Incline DB curl, Cable curl 4x10-12.</t>
        </is>
      </c>
      <c r="G40" s="50" t="inlineStr">
        <is>
          <t>Zone 2 Cycle 45 min @ 127-171W</t>
        </is>
      </c>
      <c r="H40" s="47" t="inlineStr">
        <is>
          <t>Easy</t>
        </is>
      </c>
      <c r="I40" s="50" t="inlineStr">
        <is>
          <t>Thoracic opener + pec stretch, 10 min</t>
        </is>
      </c>
      <c r="J40" s="50" t="inlineStr">
        <is>
          <t>5 min box breathing</t>
        </is>
      </c>
      <c r="K40" s="50" t="inlineStr">
        <is>
          <t>Hotel: DB press + DB curls. No gym: deep push-ups, band curls, slow tempo.</t>
        </is>
      </c>
      <c r="L40" s="50" t="inlineStr">
        <is>
          <t>Progression week. Bench 5x5 at RPE 7-8 (2 RIR); accessories 4x10-12. Cycle is true Zone 2 recovery — nose-breathing only.</t>
        </is>
      </c>
      <c r="M40" s="45" t="n"/>
      <c r="N40" s="45" t="n"/>
      <c r="O40" s="46" t="n"/>
    </row>
    <row r="41" ht="50" customHeight="1">
      <c r="A41" s="47" t="n">
        <v>37</v>
      </c>
      <c r="B41" s="47" t="n">
        <v>6</v>
      </c>
      <c r="C41" s="48" t="n">
        <v>46231</v>
      </c>
      <c r="D41" s="47" t="inlineStr">
        <is>
          <t>Tuesday</t>
        </is>
      </c>
      <c r="E41" s="49" t="inlineStr">
        <is>
          <t>Back + Triceps</t>
        </is>
      </c>
      <c r="F41" s="50" t="inlineStr">
        <is>
          <t>Weighted pull-up 5x5. Barbell row, Lat pulldown, Face pull, Close-grip bench, Rope pushdown, Overhead extension 4x10-12.</t>
        </is>
      </c>
      <c r="G41" s="50" t="inlineStr">
        <is>
          <t>VO2 Bike 5x3min @ 241-273W / 3min easy</t>
        </is>
      </c>
      <c r="H41" s="47" t="inlineStr">
        <is>
          <t>Hard</t>
        </is>
      </c>
      <c r="I41" s="50" t="inlineStr">
        <is>
          <t>Lat + lower-back decompression, 10 min</t>
        </is>
      </c>
      <c r="J41" s="50" t="inlineStr">
        <is>
          <t>5 min gratitude journaling</t>
        </is>
      </c>
      <c r="K41" s="50" t="inlineStr">
        <is>
          <t>Hotel: DB row + bench dips. No gym: doorway rows, band pulldown, diamond push-ups.</t>
        </is>
      </c>
      <c r="L41" s="50" t="inlineStr">
        <is>
          <t>Progression. Pulls 5x5 at RPE 7-8 (2 RIR). Fully recover between VO2 reps so you hit the watts every interval.</t>
        </is>
      </c>
      <c r="M41" s="45" t="n"/>
      <c r="N41" s="45" t="n"/>
      <c r="O41" s="46" t="n"/>
    </row>
    <row r="42" ht="50" customHeight="1">
      <c r="A42" s="47" t="n">
        <v>38</v>
      </c>
      <c r="B42" s="47" t="n">
        <v>6</v>
      </c>
      <c r="C42" s="48" t="n">
        <v>46232</v>
      </c>
      <c r="D42" s="47" t="inlineStr">
        <is>
          <t>Wednesday</t>
        </is>
      </c>
      <c r="E42" s="49" t="inlineStr">
        <is>
          <t>Legs Volume</t>
        </is>
      </c>
      <c r="F42" s="50" t="inlineStr">
        <is>
          <t>Back squat 5x5. Leg press, Walking lunge, Leg curl, Calf raise 4x10-12.</t>
        </is>
      </c>
      <c r="G42" s="50" t="inlineStr">
        <is>
          <t>Easy Run 35 min conversational (Zone 2)</t>
        </is>
      </c>
      <c r="H42" s="47" t="inlineStr">
        <is>
          <t>Easy</t>
        </is>
      </c>
      <c r="I42" s="50" t="inlineStr">
        <is>
          <t>Hip flexor + ankle mobility, 10 min</t>
        </is>
      </c>
      <c r="J42" s="50" t="inlineStr">
        <is>
          <t>5 min body scan</t>
        </is>
      </c>
      <c r="K42" s="50" t="inlineStr">
        <is>
          <t>Hotel: goblet squat + DB lunge. No gym: Bulgarian split squat, step-ups, tempo squats.</t>
        </is>
      </c>
      <c r="L42" s="50" t="inlineStr">
        <is>
          <t>Progression. Squat 5x5 at RPE 7-8 (2 RIR), accessories 4x10-12. Keep the run genuinely easy to aid leg recovery.</t>
        </is>
      </c>
      <c r="M42" s="45" t="n"/>
      <c r="N42" s="45" t="n"/>
      <c r="O42" s="46" t="n"/>
    </row>
    <row r="43" ht="50" customHeight="1">
      <c r="A43" s="47" t="n">
        <v>39</v>
      </c>
      <c r="B43" s="47" t="n">
        <v>6</v>
      </c>
      <c r="C43" s="48" t="n">
        <v>46233</v>
      </c>
      <c r="D43" s="47" t="inlineStr">
        <is>
          <t>Thursday</t>
        </is>
      </c>
      <c r="E43" s="49" t="inlineStr">
        <is>
          <t>Shoulders</t>
        </is>
      </c>
      <c r="F43" s="50" t="inlineStr">
        <is>
          <t>Overhead press 5x5. DB lateral raise, Rear-delt fly, Upright row, Shrug 4x10-12.</t>
        </is>
      </c>
      <c r="G43" s="50" t="inlineStr">
        <is>
          <t>Threshold Cycle 2x12min @ 207-239W</t>
        </is>
      </c>
      <c r="H43" s="47" t="inlineStr">
        <is>
          <t>Hard</t>
        </is>
      </c>
      <c r="I43" s="50" t="inlineStr">
        <is>
          <t>Shoulder CARs + band dislocates, 10 min</t>
        </is>
      </c>
      <c r="J43" s="50" t="inlineStr">
        <is>
          <t>5 min focus meditation</t>
        </is>
      </c>
      <c r="K43" s="50" t="inlineStr">
        <is>
          <t>Hotel: DB press + raises. No gym: pike push-ups, band laterals, backpack press.</t>
        </is>
      </c>
      <c r="L43" s="50" t="inlineStr">
        <is>
          <t>Progression. OHP 5x5 at RPE 7-8 (2 RIR); strict laterals. Threshold should feel 'comfortably hard', short phrases only.</t>
        </is>
      </c>
      <c r="M43" s="45" t="n"/>
      <c r="N43" s="45" t="n"/>
      <c r="O43" s="46" t="n"/>
    </row>
    <row r="44" ht="50" customHeight="1">
      <c r="A44" s="47" t="n">
        <v>40</v>
      </c>
      <c r="B44" s="47" t="n">
        <v>6</v>
      </c>
      <c r="C44" s="48" t="n">
        <v>46234</v>
      </c>
      <c r="D44" s="47" t="inlineStr">
        <is>
          <t>Friday</t>
        </is>
      </c>
      <c r="E44" s="49" t="inlineStr">
        <is>
          <t>Chest + Back Density</t>
        </is>
      </c>
      <c r="F44" s="50" t="inlineStr">
        <is>
          <t>Bench / row superset 5x5. Incline press, Chest-supported row, Cable fly, Lat pulldown 4x10-12.</t>
        </is>
      </c>
      <c r="G44" s="50" t="inlineStr">
        <is>
          <t>Hybrid 4 rounds: 40m carry + 12 burpees + 20 lunges</t>
        </is>
      </c>
      <c r="H44" s="47" t="inlineStr">
        <is>
          <t>Moderate</t>
        </is>
      </c>
      <c r="I44" s="50" t="inlineStr">
        <is>
          <t>Full upper-body flush, 10 min</t>
        </is>
      </c>
      <c r="J44" s="50" t="inlineStr">
        <is>
          <t>5 min intention setting</t>
        </is>
      </c>
      <c r="K44" s="50" t="inlineStr">
        <is>
          <t>Hotel: DB density supersets. No gym: push-up/row ladders + loaded carries with bags.</t>
        </is>
      </c>
      <c r="L44" s="50" t="inlineStr">
        <is>
          <t>Progression. Minimise rest, chase the pump at RPE 7-8 (2 RIR). Hybrid finisher: carries, burpees, lunges — no rower.</t>
        </is>
      </c>
      <c r="M44" s="45" t="n"/>
      <c r="N44" s="45" t="n"/>
      <c r="O44" s="46" t="n"/>
    </row>
    <row r="45" ht="50" customHeight="1">
      <c r="A45" s="47" t="n">
        <v>41</v>
      </c>
      <c r="B45" s="47" t="n">
        <v>6</v>
      </c>
      <c r="C45" s="48" t="n">
        <v>46235</v>
      </c>
      <c r="D45" s="47" t="inlineStr">
        <is>
          <t>Saturday</t>
        </is>
      </c>
      <c r="E45" s="49" t="inlineStr">
        <is>
          <t>Legs + Posterior Chain</t>
        </is>
      </c>
      <c r="F45" s="50" t="inlineStr">
        <is>
          <t>Deadlift / RDL 5x5. Front squat, Hip thrust, Nordic curl, Back extension 4x10-12.</t>
        </is>
      </c>
      <c r="G45" s="50" t="inlineStr">
        <is>
          <t>Long Ride 1h45 Zone 2 @ 127-171W</t>
        </is>
      </c>
      <c r="H45" s="47" t="inlineStr">
        <is>
          <t>Long</t>
        </is>
      </c>
      <c r="I45" s="50" t="inlineStr">
        <is>
          <t>Hamstring + glute release, 12 min</t>
        </is>
      </c>
      <c r="J45" s="50" t="inlineStr">
        <is>
          <t>10 min outdoor mindfulness</t>
        </is>
      </c>
      <c r="K45" s="50" t="inlineStr">
        <is>
          <t>Hotel: DB RDL + hip thrust. No gym: single-leg RDL, hip bridges, long Zone 2 ride/run.</t>
        </is>
      </c>
      <c r="L45" s="50" t="inlineStr">
        <is>
          <t>Progression. Heavy posterior chain 5x5 at RPE 7-8 (2 RIR). Fuel the long ride hourly to protect fat loss &amp; recovery.</t>
        </is>
      </c>
      <c r="M45" s="45" t="n"/>
      <c r="N45" s="45" t="n"/>
      <c r="O45" s="46" t="n"/>
    </row>
    <row r="46" ht="50" customHeight="1">
      <c r="A46" s="47" t="n">
        <v>42</v>
      </c>
      <c r="B46" s="47" t="n">
        <v>6</v>
      </c>
      <c r="C46" s="48" t="n">
        <v>46236</v>
      </c>
      <c r="D46" s="47" t="inlineStr">
        <is>
          <t>Sunday</t>
        </is>
      </c>
      <c r="E46" s="49" t="inlineStr">
        <is>
          <t>Arms + Core</t>
        </is>
      </c>
      <c r="F46" s="50" t="inlineStr">
        <is>
          <t>Barbell curl 5x5. Hammer curl, Skullcrusher, Rope pushdown, Hanging leg raise, Plank, Pallof press 4x10-12.</t>
        </is>
      </c>
      <c r="G46" s="50" t="inlineStr">
        <is>
          <t>Long Run 52 min easy (Zone 2)</t>
        </is>
      </c>
      <c r="H46" s="47" t="inlineStr">
        <is>
          <t>Long</t>
        </is>
      </c>
      <c r="I46" s="50" t="inlineStr">
        <is>
          <t>Spine + hip flow, 12 min</t>
        </is>
      </c>
      <c r="J46" s="50" t="inlineStr">
        <is>
          <t>10 min reflection / week review</t>
        </is>
      </c>
      <c r="K46" s="50" t="inlineStr">
        <is>
          <t>Hotel: DB arms + core circuit. No gym: band curls, dips, planks, long easy run.</t>
        </is>
      </c>
      <c r="L46" s="50" t="inlineStr">
        <is>
          <t>Progression. Arms &amp; core at RPE 7-8 (2 RIR). Long run is 80% easy volume — keep it conversational. Log the week's wins.</t>
        </is>
      </c>
      <c r="M46" s="45" t="n"/>
      <c r="N46" s="45" t="n"/>
      <c r="O46" s="46" t="n"/>
    </row>
    <row r="47" ht="50" customHeight="1">
      <c r="A47" s="28" t="n">
        <v>43</v>
      </c>
      <c r="B47" s="28" t="n">
        <v>7</v>
      </c>
      <c r="C47" s="43" t="n">
        <v>46237</v>
      </c>
      <c r="D47" s="28" t="inlineStr">
        <is>
          <t>Monday</t>
        </is>
      </c>
      <c r="E47" s="44" t="inlineStr">
        <is>
          <t>Chest + Biceps</t>
        </is>
      </c>
      <c r="F47" s="37" t="inlineStr">
        <is>
          <t>Barbell bench press 5x5 (RPE8). Incline DB press, Weighted dip, Cable fly, EZ-bar curl, Incline DB curl, Cable curl 4x12-15.</t>
        </is>
      </c>
      <c r="G47" s="37" t="inlineStr">
        <is>
          <t>Zone 2 Cycle 55 min @ 129-173W</t>
        </is>
      </c>
      <c r="H47" s="28" t="inlineStr">
        <is>
          <t>Easy</t>
        </is>
      </c>
      <c r="I47" s="37" t="inlineStr">
        <is>
          <t>Thoracic opener + pec stretch, 10 min</t>
        </is>
      </c>
      <c r="J47" s="37" t="inlineStr">
        <is>
          <t>5 min box breathing</t>
        </is>
      </c>
      <c r="K47" s="37" t="inlineStr">
        <is>
          <t>Hotel: DB press + DB curls. No gym: deep push-ups, band curls, slow tempo.</t>
        </is>
      </c>
      <c r="L47" s="37" t="inlineStr">
        <is>
          <t>Peak Volume week. Bench 5x5 (RPE8) at RPE 8 (1-2 RIR); accessories 4x12-15. Cycle is true Zone 2 recovery — nose-breathing only.</t>
        </is>
      </c>
      <c r="M47" s="45" t="n"/>
      <c r="N47" s="45" t="n"/>
      <c r="O47" s="46" t="n"/>
    </row>
    <row r="48" ht="50" customHeight="1">
      <c r="A48" s="28" t="n">
        <v>44</v>
      </c>
      <c r="B48" s="28" t="n">
        <v>7</v>
      </c>
      <c r="C48" s="43" t="n">
        <v>46238</v>
      </c>
      <c r="D48" s="28" t="inlineStr">
        <is>
          <t>Tuesday</t>
        </is>
      </c>
      <c r="E48" s="44" t="inlineStr">
        <is>
          <t>Back + Triceps</t>
        </is>
      </c>
      <c r="F48" s="37" t="inlineStr">
        <is>
          <t>Weighted pull-up 5x5 (RPE8). Barbell row, Lat pulldown, Face pull, Close-grip bench, Rope pushdown, Overhead extension 4x12-15.</t>
        </is>
      </c>
      <c r="G48" s="37" t="inlineStr">
        <is>
          <t>VO2 Bike 5x3min @ 244-277W / 3min easy</t>
        </is>
      </c>
      <c r="H48" s="28" t="inlineStr">
        <is>
          <t>Hard</t>
        </is>
      </c>
      <c r="I48" s="37" t="inlineStr">
        <is>
          <t>Lat + lower-back decompression, 10 min</t>
        </is>
      </c>
      <c r="J48" s="37" t="inlineStr">
        <is>
          <t>5 min gratitude journaling</t>
        </is>
      </c>
      <c r="K48" s="37" t="inlineStr">
        <is>
          <t>Hotel: DB row + bench dips. No gym: doorway rows, band pulldown, diamond push-ups.</t>
        </is>
      </c>
      <c r="L48" s="37" t="inlineStr">
        <is>
          <t>Peak Volume. Pulls 5x5 (RPE8) at RPE 8 (1-2 RIR). Fully recover between VO2 reps so you hit the watts every interval.</t>
        </is>
      </c>
      <c r="M48" s="45" t="n"/>
      <c r="N48" s="45" t="n"/>
      <c r="O48" s="46" t="n"/>
    </row>
    <row r="49" ht="50" customHeight="1">
      <c r="A49" s="28" t="n">
        <v>45</v>
      </c>
      <c r="B49" s="28" t="n">
        <v>7</v>
      </c>
      <c r="C49" s="43" t="n">
        <v>46239</v>
      </c>
      <c r="D49" s="28" t="inlineStr">
        <is>
          <t>Wednesday</t>
        </is>
      </c>
      <c r="E49" s="44" t="inlineStr">
        <is>
          <t>Legs Volume</t>
        </is>
      </c>
      <c r="F49" s="37" t="inlineStr">
        <is>
          <t>Back squat 5x5 (RPE8). Leg press, Walking lunge, Leg curl, Calf raise 4x12-15.</t>
        </is>
      </c>
      <c r="G49" s="37" t="inlineStr">
        <is>
          <t>Easy Run 40 min conversational (Zone 2)</t>
        </is>
      </c>
      <c r="H49" s="28" t="inlineStr">
        <is>
          <t>Easy</t>
        </is>
      </c>
      <c r="I49" s="37" t="inlineStr">
        <is>
          <t>Hip flexor + ankle mobility, 10 min</t>
        </is>
      </c>
      <c r="J49" s="37" t="inlineStr">
        <is>
          <t>5 min body scan</t>
        </is>
      </c>
      <c r="K49" s="37" t="inlineStr">
        <is>
          <t>Hotel: goblet squat + DB lunge. No gym: Bulgarian split squat, step-ups, tempo squats.</t>
        </is>
      </c>
      <c r="L49" s="37" t="inlineStr">
        <is>
          <t>Peak Volume. Squat 5x5 (RPE8) at RPE 8 (1-2 RIR), accessories 4x12-15. Keep the run genuinely easy to aid leg recovery.</t>
        </is>
      </c>
      <c r="M49" s="45" t="n"/>
      <c r="N49" s="45" t="n"/>
      <c r="O49" s="46" t="n"/>
    </row>
    <row r="50" ht="50" customHeight="1">
      <c r="A50" s="28" t="n">
        <v>46</v>
      </c>
      <c r="B50" s="28" t="n">
        <v>7</v>
      </c>
      <c r="C50" s="43" t="n">
        <v>46240</v>
      </c>
      <c r="D50" s="28" t="inlineStr">
        <is>
          <t>Thursday</t>
        </is>
      </c>
      <c r="E50" s="44" t="inlineStr">
        <is>
          <t>Shoulders</t>
        </is>
      </c>
      <c r="F50" s="37" t="inlineStr">
        <is>
          <t>Overhead press 5x5 (RPE8). DB lateral raise, Rear-delt fly, Upright row, Shrug 4x12-15.</t>
        </is>
      </c>
      <c r="G50" s="37" t="inlineStr">
        <is>
          <t>Threshold Cycle 3x12min @ 210-242W</t>
        </is>
      </c>
      <c r="H50" s="28" t="inlineStr">
        <is>
          <t>Hard</t>
        </is>
      </c>
      <c r="I50" s="37" t="inlineStr">
        <is>
          <t>Shoulder CARs + band dislocates, 10 min</t>
        </is>
      </c>
      <c r="J50" s="37" t="inlineStr">
        <is>
          <t>5 min focus meditation</t>
        </is>
      </c>
      <c r="K50" s="37" t="inlineStr">
        <is>
          <t>Hotel: DB press + raises. No gym: pike push-ups, band laterals, backpack press.</t>
        </is>
      </c>
      <c r="L50" s="37" t="inlineStr">
        <is>
          <t>Peak Volume. OHP 5x5 (RPE8) at RPE 8 (1-2 RIR); strict laterals. Threshold should feel 'comfortably hard', short phrases only.</t>
        </is>
      </c>
      <c r="M50" s="45" t="n"/>
      <c r="N50" s="45" t="n"/>
      <c r="O50" s="46" t="n"/>
    </row>
    <row r="51" ht="50" customHeight="1">
      <c r="A51" s="28" t="n">
        <v>47</v>
      </c>
      <c r="B51" s="28" t="n">
        <v>7</v>
      </c>
      <c r="C51" s="43" t="n">
        <v>46241</v>
      </c>
      <c r="D51" s="28" t="inlineStr">
        <is>
          <t>Friday</t>
        </is>
      </c>
      <c r="E51" s="44" t="inlineStr">
        <is>
          <t>Chest + Back Density</t>
        </is>
      </c>
      <c r="F51" s="37" t="inlineStr">
        <is>
          <t>Bench / row superset 5x5 (RPE8). Incline press, Chest-supported row, Cable fly, Lat pulldown 4x12-15.</t>
        </is>
      </c>
      <c r="G51" s="37" t="inlineStr">
        <is>
          <t>Hybrid 5 rounds: 40m carry + 12 burpees + 20 lunges</t>
        </is>
      </c>
      <c r="H51" s="28" t="inlineStr">
        <is>
          <t>Moderate</t>
        </is>
      </c>
      <c r="I51" s="37" t="inlineStr">
        <is>
          <t>Full upper-body flush, 10 min</t>
        </is>
      </c>
      <c r="J51" s="37" t="inlineStr">
        <is>
          <t>5 min intention setting</t>
        </is>
      </c>
      <c r="K51" s="37" t="inlineStr">
        <is>
          <t>Hotel: DB density supersets. No gym: push-up/row ladders + loaded carries with bags.</t>
        </is>
      </c>
      <c r="L51" s="37" t="inlineStr">
        <is>
          <t>Peak Volume. Minimise rest, chase the pump at RPE 8 (1-2 RIR). Hybrid finisher: carries, burpees, lunges — no rower.</t>
        </is>
      </c>
      <c r="M51" s="45" t="n"/>
      <c r="N51" s="45" t="n"/>
      <c r="O51" s="46" t="n"/>
    </row>
    <row r="52" ht="50" customHeight="1">
      <c r="A52" s="28" t="n">
        <v>48</v>
      </c>
      <c r="B52" s="28" t="n">
        <v>7</v>
      </c>
      <c r="C52" s="43" t="n">
        <v>46242</v>
      </c>
      <c r="D52" s="28" t="inlineStr">
        <is>
          <t>Saturday</t>
        </is>
      </c>
      <c r="E52" s="44" t="inlineStr">
        <is>
          <t>Legs + Posterior Chain</t>
        </is>
      </c>
      <c r="F52" s="37" t="inlineStr">
        <is>
          <t>Deadlift / RDL 5x5 (RPE8). Front squat, Hip thrust, Nordic curl, Back extension 4x12-15.</t>
        </is>
      </c>
      <c r="G52" s="37" t="inlineStr">
        <is>
          <t>Long Ride 2h00 Zone 2 @ 129-173W</t>
        </is>
      </c>
      <c r="H52" s="28" t="inlineStr">
        <is>
          <t>Long</t>
        </is>
      </c>
      <c r="I52" s="37" t="inlineStr">
        <is>
          <t>Hamstring + glute release, 12 min</t>
        </is>
      </c>
      <c r="J52" s="37" t="inlineStr">
        <is>
          <t>10 min outdoor mindfulness</t>
        </is>
      </c>
      <c r="K52" s="37" t="inlineStr">
        <is>
          <t>Hotel: DB RDL + hip thrust. No gym: single-leg RDL, hip bridges, long Zone 2 ride/run.</t>
        </is>
      </c>
      <c r="L52" s="37" t="inlineStr">
        <is>
          <t>Peak Volume. Heavy posterior chain 5x5 (RPE8) at RPE 8 (1-2 RIR). Fuel the long ride hourly to protect fat loss &amp; recovery.</t>
        </is>
      </c>
      <c r="M52" s="45" t="n"/>
      <c r="N52" s="45" t="n"/>
      <c r="O52" s="46" t="n"/>
    </row>
    <row r="53" ht="50" customHeight="1">
      <c r="A53" s="28" t="n">
        <v>49</v>
      </c>
      <c r="B53" s="28" t="n">
        <v>7</v>
      </c>
      <c r="C53" s="43" t="n">
        <v>46243</v>
      </c>
      <c r="D53" s="28" t="inlineStr">
        <is>
          <t>Sunday</t>
        </is>
      </c>
      <c r="E53" s="44" t="inlineStr">
        <is>
          <t>Arms + Core</t>
        </is>
      </c>
      <c r="F53" s="37" t="inlineStr">
        <is>
          <t>Barbell curl 5x5 (RPE8). Hammer curl, Skullcrusher, Rope pushdown, Hanging leg raise, Plank, Pallof press 4x12-15.</t>
        </is>
      </c>
      <c r="G53" s="37" t="inlineStr">
        <is>
          <t>Long Run 1h00 easy (Zone 2)</t>
        </is>
      </c>
      <c r="H53" s="28" t="inlineStr">
        <is>
          <t>Long</t>
        </is>
      </c>
      <c r="I53" s="37" t="inlineStr">
        <is>
          <t>Spine + hip flow, 12 min</t>
        </is>
      </c>
      <c r="J53" s="37" t="inlineStr">
        <is>
          <t>10 min reflection / week review</t>
        </is>
      </c>
      <c r="K53" s="37" t="inlineStr">
        <is>
          <t>Hotel: DB arms + core circuit. No gym: band curls, dips, planks, long easy run.</t>
        </is>
      </c>
      <c r="L53" s="37" t="inlineStr">
        <is>
          <t>Peak Volume. Arms &amp; core at RPE 8 (1-2 RIR). Long run is 80% easy volume — keep it conversational. Log the week's wins.</t>
        </is>
      </c>
      <c r="M53" s="45" t="n"/>
      <c r="N53" s="45" t="n"/>
      <c r="O53" s="46" t="n"/>
    </row>
    <row r="54" ht="50" customHeight="1">
      <c r="A54" s="47" t="n">
        <v>50</v>
      </c>
      <c r="B54" s="47" t="n">
        <v>8</v>
      </c>
      <c r="C54" s="48" t="n">
        <v>46244</v>
      </c>
      <c r="D54" s="47" t="inlineStr">
        <is>
          <t>Monday</t>
        </is>
      </c>
      <c r="E54" s="49" t="inlineStr">
        <is>
          <t>Chest + Biceps</t>
        </is>
      </c>
      <c r="F54" s="50" t="inlineStr">
        <is>
          <t>DELOAD — Barbell bench press 3x5 light. Incline DB press, Weighted dip, Cable fly, EZ-bar curl, Incline DB curl, Cable curl 2x8 (-40% vol).</t>
        </is>
      </c>
      <c r="G54" s="50" t="inlineStr">
        <is>
          <t>Zone 2 Cycle 30 min @ 128-172W</t>
        </is>
      </c>
      <c r="H54" s="47" t="inlineStr">
        <is>
          <t>Easy</t>
        </is>
      </c>
      <c r="I54" s="50" t="inlineStr">
        <is>
          <t>Thoracic opener + pec stretch, 10 min</t>
        </is>
      </c>
      <c r="J54" s="50" t="inlineStr">
        <is>
          <t>5 min box breathing</t>
        </is>
      </c>
      <c r="K54" s="50" t="inlineStr">
        <is>
          <t>Hotel: DB press + DB curls. No gym: deep push-ups, band curls, slow tempo.</t>
        </is>
      </c>
      <c r="L54" s="50" t="inlineStr">
        <is>
          <t>Deload week. Bench 3x5 light at RPE 5-6 (deload); accessories 2x8 (-40% vol). Cycle is true Zone 2 recovery — nose-breathing only.</t>
        </is>
      </c>
      <c r="M54" s="45" t="n"/>
      <c r="N54" s="45" t="n"/>
      <c r="O54" s="46" t="n"/>
    </row>
    <row r="55" ht="50" customHeight="1">
      <c r="A55" s="47" t="n">
        <v>51</v>
      </c>
      <c r="B55" s="47" t="n">
        <v>8</v>
      </c>
      <c r="C55" s="48" t="n">
        <v>46245</v>
      </c>
      <c r="D55" s="47" t="inlineStr">
        <is>
          <t>Tuesday</t>
        </is>
      </c>
      <c r="E55" s="49" t="inlineStr">
        <is>
          <t>Back + Triceps</t>
        </is>
      </c>
      <c r="F55" s="50" t="inlineStr">
        <is>
          <t>DELOAD — Weighted pull-up 3x5 light. Barbell row, Lat pulldown, Face pull, Close-grip bench, Rope pushdown, Overhead extension 2x8 (-40% vol).</t>
        </is>
      </c>
      <c r="G55" s="50" t="inlineStr">
        <is>
          <t>VO2 Bike 3x3min @ 243-276W / 3min easy</t>
        </is>
      </c>
      <c r="H55" s="47" t="inlineStr">
        <is>
          <t>Moderate</t>
        </is>
      </c>
      <c r="I55" s="50" t="inlineStr">
        <is>
          <t>Lat + lower-back decompression, 10 min</t>
        </is>
      </c>
      <c r="J55" s="50" t="inlineStr">
        <is>
          <t>5 min gratitude journaling</t>
        </is>
      </c>
      <c r="K55" s="50" t="inlineStr">
        <is>
          <t>Hotel: DB row + bench dips. No gym: doorway rows, band pulldown, diamond push-ups.</t>
        </is>
      </c>
      <c r="L55" s="50" t="inlineStr">
        <is>
          <t>Deload. Pulls 3x5 light at RPE 5-6 (deload). Fully recover between VO2 reps so you hit the watts every interval.</t>
        </is>
      </c>
      <c r="M55" s="45" t="n"/>
      <c r="N55" s="45" t="n"/>
      <c r="O55" s="46" t="n"/>
    </row>
    <row r="56" ht="50" customHeight="1">
      <c r="A56" s="47" t="n">
        <v>52</v>
      </c>
      <c r="B56" s="47" t="n">
        <v>8</v>
      </c>
      <c r="C56" s="48" t="n">
        <v>46246</v>
      </c>
      <c r="D56" s="47" t="inlineStr">
        <is>
          <t>Wednesday</t>
        </is>
      </c>
      <c r="E56" s="49" t="inlineStr">
        <is>
          <t>Legs Volume</t>
        </is>
      </c>
      <c r="F56" s="50" t="inlineStr">
        <is>
          <t>DELOAD — Back squat 3x5 light. Leg press, Walking lunge, Leg curl, Calf raise 2x8 (-40% vol).</t>
        </is>
      </c>
      <c r="G56" s="50" t="inlineStr">
        <is>
          <t>Easy Run 25 min conversational (Zone 2)</t>
        </is>
      </c>
      <c r="H56" s="47" t="inlineStr">
        <is>
          <t>Easy</t>
        </is>
      </c>
      <c r="I56" s="50" t="inlineStr">
        <is>
          <t>Hip flexor + ankle mobility, 10 min</t>
        </is>
      </c>
      <c r="J56" s="50" t="inlineStr">
        <is>
          <t>5 min body scan</t>
        </is>
      </c>
      <c r="K56" s="50" t="inlineStr">
        <is>
          <t>Hotel: goblet squat + DB lunge. No gym: Bulgarian split squat, step-ups, tempo squats.</t>
        </is>
      </c>
      <c r="L56" s="50" t="inlineStr">
        <is>
          <t>Deload. Squat 3x5 light at RPE 5-6 (deload), accessories 2x8 (-40% vol). Keep the run genuinely easy to aid leg recovery.</t>
        </is>
      </c>
      <c r="M56" s="45" t="n"/>
      <c r="N56" s="45" t="n"/>
      <c r="O56" s="46" t="n"/>
    </row>
    <row r="57" ht="50" customHeight="1">
      <c r="A57" s="47" t="n">
        <v>53</v>
      </c>
      <c r="B57" s="47" t="n">
        <v>8</v>
      </c>
      <c r="C57" s="48" t="n">
        <v>46247</v>
      </c>
      <c r="D57" s="47" t="inlineStr">
        <is>
          <t>Thursday</t>
        </is>
      </c>
      <c r="E57" s="49" t="inlineStr">
        <is>
          <t>Shoulders</t>
        </is>
      </c>
      <c r="F57" s="50" t="inlineStr">
        <is>
          <t>DELOAD — Overhead press 3x5 light. DB lateral raise, Rear-delt fly, Upright row, Shrug 2x8 (-40% vol).</t>
        </is>
      </c>
      <c r="G57" s="50" t="inlineStr">
        <is>
          <t>Threshold Cycle 2x8min @ 209-241W</t>
        </is>
      </c>
      <c r="H57" s="47" t="inlineStr">
        <is>
          <t>Moderate</t>
        </is>
      </c>
      <c r="I57" s="50" t="inlineStr">
        <is>
          <t>Shoulder CARs + band dislocates, 10 min</t>
        </is>
      </c>
      <c r="J57" s="50" t="inlineStr">
        <is>
          <t>5 min focus meditation</t>
        </is>
      </c>
      <c r="K57" s="50" t="inlineStr">
        <is>
          <t>Hotel: DB press + raises. No gym: pike push-ups, band laterals, backpack press.</t>
        </is>
      </c>
      <c r="L57" s="50" t="inlineStr">
        <is>
          <t>Deload. OHP 3x5 light at RPE 5-6 (deload); strict laterals. Threshold should feel 'comfortably hard', short phrases only.</t>
        </is>
      </c>
      <c r="M57" s="45" t="n"/>
      <c r="N57" s="45" t="n"/>
      <c r="O57" s="46" t="n"/>
    </row>
    <row r="58" ht="50" customHeight="1">
      <c r="A58" s="47" t="n">
        <v>54</v>
      </c>
      <c r="B58" s="47" t="n">
        <v>8</v>
      </c>
      <c r="C58" s="48" t="n">
        <v>46248</v>
      </c>
      <c r="D58" s="47" t="inlineStr">
        <is>
          <t>Friday</t>
        </is>
      </c>
      <c r="E58" s="49" t="inlineStr">
        <is>
          <t>Chest + Back Density</t>
        </is>
      </c>
      <c r="F58" s="50" t="inlineStr">
        <is>
          <t>DELOAD — Bench / row superset 3x5 light. Incline press, Chest-supported row, Cable fly, Lat pulldown 2x8 (-40% vol).</t>
        </is>
      </c>
      <c r="G58" s="50" t="inlineStr">
        <is>
          <t>Hybrid 3 rounds: 40m carry + 12 burpees + 20 lunges</t>
        </is>
      </c>
      <c r="H58" s="47" t="inlineStr">
        <is>
          <t>Moderate</t>
        </is>
      </c>
      <c r="I58" s="50" t="inlineStr">
        <is>
          <t>Full upper-body flush, 10 min</t>
        </is>
      </c>
      <c r="J58" s="50" t="inlineStr">
        <is>
          <t>5 min intention setting</t>
        </is>
      </c>
      <c r="K58" s="50" t="inlineStr">
        <is>
          <t>Hotel: DB density supersets. No gym: push-up/row ladders + loaded carries with bags.</t>
        </is>
      </c>
      <c r="L58" s="50" t="inlineStr">
        <is>
          <t>Deload. Minimise rest, chase the pump at RPE 5-6 (deload). Hybrid finisher: carries, burpees, lunges — no rower.</t>
        </is>
      </c>
      <c r="M58" s="45" t="n"/>
      <c r="N58" s="45" t="n"/>
      <c r="O58" s="46" t="n"/>
    </row>
    <row r="59" ht="50" customHeight="1">
      <c r="A59" s="47" t="n">
        <v>55</v>
      </c>
      <c r="B59" s="47" t="n">
        <v>8</v>
      </c>
      <c r="C59" s="48" t="n">
        <v>46249</v>
      </c>
      <c r="D59" s="47" t="inlineStr">
        <is>
          <t>Saturday</t>
        </is>
      </c>
      <c r="E59" s="49" t="inlineStr">
        <is>
          <t>Legs + Posterior Chain</t>
        </is>
      </c>
      <c r="F59" s="50" t="inlineStr">
        <is>
          <t>DELOAD — Deadlift / RDL 3x5 light. Front squat, Hip thrust, Nordic curl, Back extension 2x8 (-40% vol).</t>
        </is>
      </c>
      <c r="G59" s="50" t="inlineStr">
        <is>
          <t>Long Ride 1h00 Zone 2 @ 128-172W</t>
        </is>
      </c>
      <c r="H59" s="47" t="inlineStr">
        <is>
          <t>Long</t>
        </is>
      </c>
      <c r="I59" s="50" t="inlineStr">
        <is>
          <t>Hamstring + glute release, 12 min</t>
        </is>
      </c>
      <c r="J59" s="50" t="inlineStr">
        <is>
          <t>10 min outdoor mindfulness</t>
        </is>
      </c>
      <c r="K59" s="50" t="inlineStr">
        <is>
          <t>Hotel: DB RDL + hip thrust. No gym: single-leg RDL, hip bridges, long Zone 2 ride/run.</t>
        </is>
      </c>
      <c r="L59" s="50" t="inlineStr">
        <is>
          <t>Deload. Heavy posterior chain 3x5 light at RPE 5-6 (deload). Fuel the long ride hourly to protect fat loss &amp; recovery.</t>
        </is>
      </c>
      <c r="M59" s="45" t="n"/>
      <c r="N59" s="45" t="n"/>
      <c r="O59" s="46" t="n"/>
    </row>
    <row r="60" ht="50" customHeight="1">
      <c r="A60" s="47" t="n">
        <v>56</v>
      </c>
      <c r="B60" s="47" t="n">
        <v>8</v>
      </c>
      <c r="C60" s="48" t="n">
        <v>46250</v>
      </c>
      <c r="D60" s="47" t="inlineStr">
        <is>
          <t>Sunday</t>
        </is>
      </c>
      <c r="E60" s="49" t="inlineStr">
        <is>
          <t>Arms + Core</t>
        </is>
      </c>
      <c r="F60" s="50" t="inlineStr">
        <is>
          <t>DELOAD — Barbell curl 3x5 light. Hammer curl, Skullcrusher, Rope pushdown, Hanging leg raise, Plank, Pallof press 2x8 (-40% vol).</t>
        </is>
      </c>
      <c r="G60" s="50" t="inlineStr">
        <is>
          <t>Long Run 35 min easy (Zone 2)</t>
        </is>
      </c>
      <c r="H60" s="47" t="inlineStr">
        <is>
          <t>Long</t>
        </is>
      </c>
      <c r="I60" s="50" t="inlineStr">
        <is>
          <t>Spine + hip flow, 12 min</t>
        </is>
      </c>
      <c r="J60" s="50" t="inlineStr">
        <is>
          <t>10 min reflection / week review</t>
        </is>
      </c>
      <c r="K60" s="50" t="inlineStr">
        <is>
          <t>Hotel: DB arms + core circuit. No gym: band curls, dips, planks, long easy run.</t>
        </is>
      </c>
      <c r="L60" s="50" t="inlineStr">
        <is>
          <t>Deload. Arms &amp; core at RPE 5-6 (deload). Long run is 80% easy volume — keep it conversational. Log the week's wins.</t>
        </is>
      </c>
      <c r="M60" s="45" t="n"/>
      <c r="N60" s="45" t="n"/>
      <c r="O60" s="46" t="n"/>
    </row>
    <row r="61" ht="50" customHeight="1">
      <c r="A61" s="28" t="n">
        <v>57</v>
      </c>
      <c r="B61" s="28" t="n">
        <v>9</v>
      </c>
      <c r="C61" s="43" t="n">
        <v>46251</v>
      </c>
      <c r="D61" s="28" t="inlineStr">
        <is>
          <t>Monday</t>
        </is>
      </c>
      <c r="E61" s="44" t="inlineStr">
        <is>
          <t>Chest + Biceps</t>
        </is>
      </c>
      <c r="F61" s="37" t="inlineStr">
        <is>
          <t>Barbell bench press 4x6. Incline DB press, Weighted dip, Cable fly, EZ-bar curl, Incline DB curl, Cable curl 3x8-10.</t>
        </is>
      </c>
      <c r="G61" s="37" t="inlineStr">
        <is>
          <t>Zone 2 Cycle 50 min @ 132-177W</t>
        </is>
      </c>
      <c r="H61" s="28" t="inlineStr">
        <is>
          <t>Easy</t>
        </is>
      </c>
      <c r="I61" s="37" t="inlineStr">
        <is>
          <t>Thoracic opener + pec stretch, 10 min</t>
        </is>
      </c>
      <c r="J61" s="37" t="inlineStr">
        <is>
          <t>5 min box breathing</t>
        </is>
      </c>
      <c r="K61" s="37" t="inlineStr">
        <is>
          <t>Hotel: DB press + DB curls. No gym: deep push-ups, band curls, slow tempo.</t>
        </is>
      </c>
      <c r="L61" s="37" t="inlineStr">
        <is>
          <t>Accumulation week. Bench 4x6 at RPE 7 (2-3 RIR); accessories 3x8-10. Cycle is true Zone 2 recovery — nose-breathing only.</t>
        </is>
      </c>
      <c r="M61" s="45" t="n"/>
      <c r="N61" s="45" t="n"/>
      <c r="O61" s="46" t="n"/>
    </row>
    <row r="62" ht="50" customHeight="1">
      <c r="A62" s="28" t="n">
        <v>58</v>
      </c>
      <c r="B62" s="28" t="n">
        <v>9</v>
      </c>
      <c r="C62" s="43" t="n">
        <v>46252</v>
      </c>
      <c r="D62" s="28" t="inlineStr">
        <is>
          <t>Tuesday</t>
        </is>
      </c>
      <c r="E62" s="44" t="inlineStr">
        <is>
          <t>Back + Triceps</t>
        </is>
      </c>
      <c r="F62" s="37" t="inlineStr">
        <is>
          <t>Weighted pull-up 4x6. Barbell row, Lat pulldown, Face pull, Close-grip bench, Rope pushdown, Overhead extension 3x8-10.</t>
        </is>
      </c>
      <c r="G62" s="37" t="inlineStr">
        <is>
          <t>VO2 Bike 6x3min @ 250-283W / 3min easy</t>
        </is>
      </c>
      <c r="H62" s="28" t="inlineStr">
        <is>
          <t>Hard</t>
        </is>
      </c>
      <c r="I62" s="37" t="inlineStr">
        <is>
          <t>Lat + lower-back decompression, 10 min</t>
        </is>
      </c>
      <c r="J62" s="37" t="inlineStr">
        <is>
          <t>5 min gratitude journaling</t>
        </is>
      </c>
      <c r="K62" s="37" t="inlineStr">
        <is>
          <t>Hotel: DB row + bench dips. No gym: doorway rows, band pulldown, diamond push-ups.</t>
        </is>
      </c>
      <c r="L62" s="37" t="inlineStr">
        <is>
          <t>Accumulation. Pulls 4x6 at RPE 7 (2-3 RIR). Fully recover between VO2 reps so you hit the watts every interval.</t>
        </is>
      </c>
      <c r="M62" s="45" t="n"/>
      <c r="N62" s="45" t="n"/>
      <c r="O62" s="46" t="n"/>
    </row>
    <row r="63" ht="50" customHeight="1">
      <c r="A63" s="28" t="n">
        <v>59</v>
      </c>
      <c r="B63" s="28" t="n">
        <v>9</v>
      </c>
      <c r="C63" s="43" t="n">
        <v>46253</v>
      </c>
      <c r="D63" s="28" t="inlineStr">
        <is>
          <t>Wednesday</t>
        </is>
      </c>
      <c r="E63" s="44" t="inlineStr">
        <is>
          <t>Legs Volume</t>
        </is>
      </c>
      <c r="F63" s="37" t="inlineStr">
        <is>
          <t>Back squat 4x6. Leg press, Walking lunge, Leg curl, Calf raise 3x8-10.</t>
        </is>
      </c>
      <c r="G63" s="37" t="inlineStr">
        <is>
          <t>Easy Run 40 min conversational (Zone 2)</t>
        </is>
      </c>
      <c r="H63" s="28" t="inlineStr">
        <is>
          <t>Easy</t>
        </is>
      </c>
      <c r="I63" s="37" t="inlineStr">
        <is>
          <t>Hip flexor + ankle mobility, 10 min</t>
        </is>
      </c>
      <c r="J63" s="37" t="inlineStr">
        <is>
          <t>5 min body scan</t>
        </is>
      </c>
      <c r="K63" s="37" t="inlineStr">
        <is>
          <t>Hotel: goblet squat + DB lunge. No gym: Bulgarian split squat, step-ups, tempo squats.</t>
        </is>
      </c>
      <c r="L63" s="37" t="inlineStr">
        <is>
          <t>Accumulation. Squat 4x6 at RPE 7 (2-3 RIR), accessories 3x8-10. Keep the run genuinely easy to aid leg recovery.</t>
        </is>
      </c>
      <c r="M63" s="45" t="n"/>
      <c r="N63" s="45" t="n"/>
      <c r="O63" s="46" t="n"/>
    </row>
    <row r="64" ht="50" customHeight="1">
      <c r="A64" s="28" t="n">
        <v>60</v>
      </c>
      <c r="B64" s="28" t="n">
        <v>9</v>
      </c>
      <c r="C64" s="43" t="n">
        <v>46254</v>
      </c>
      <c r="D64" s="28" t="inlineStr">
        <is>
          <t>Thursday</t>
        </is>
      </c>
      <c r="E64" s="44" t="inlineStr">
        <is>
          <t>Shoulders</t>
        </is>
      </c>
      <c r="F64" s="37" t="inlineStr">
        <is>
          <t>Overhead press 4x6. DB lateral raise, Rear-delt fly, Upright row, Shrug 3x8-10.</t>
        </is>
      </c>
      <c r="G64" s="37" t="inlineStr">
        <is>
          <t>Threshold Cycle 2x10min @ 214-247W</t>
        </is>
      </c>
      <c r="H64" s="28" t="inlineStr">
        <is>
          <t>Hard</t>
        </is>
      </c>
      <c r="I64" s="37" t="inlineStr">
        <is>
          <t>Shoulder CARs + band dislocates, 10 min</t>
        </is>
      </c>
      <c r="J64" s="37" t="inlineStr">
        <is>
          <t>5 min focus meditation</t>
        </is>
      </c>
      <c r="K64" s="37" t="inlineStr">
        <is>
          <t>Hotel: DB press + raises. No gym: pike push-ups, band laterals, backpack press.</t>
        </is>
      </c>
      <c r="L64" s="37" t="inlineStr">
        <is>
          <t>Accumulation. OHP 4x6 at RPE 7 (2-3 RIR); strict laterals. Threshold should feel 'comfortably hard', short phrases only.</t>
        </is>
      </c>
      <c r="M64" s="45" t="n"/>
      <c r="N64" s="45" t="n"/>
      <c r="O64" s="46" t="n"/>
    </row>
    <row r="65" ht="50" customHeight="1">
      <c r="A65" s="28" t="n">
        <v>61</v>
      </c>
      <c r="B65" s="28" t="n">
        <v>9</v>
      </c>
      <c r="C65" s="43" t="n">
        <v>46255</v>
      </c>
      <c r="D65" s="28" t="inlineStr">
        <is>
          <t>Friday</t>
        </is>
      </c>
      <c r="E65" s="44" t="inlineStr">
        <is>
          <t>Chest + Back Density</t>
        </is>
      </c>
      <c r="F65" s="37" t="inlineStr">
        <is>
          <t>Bench / row superset 4x6. Incline press, Chest-supported row, Cable fly, Lat pulldown 3x8-10.</t>
        </is>
      </c>
      <c r="G65" s="37" t="inlineStr">
        <is>
          <t>Hybrid 3 rounds: 40m carry + 12 burpees + 20 lunges</t>
        </is>
      </c>
      <c r="H65" s="28" t="inlineStr">
        <is>
          <t>Moderate</t>
        </is>
      </c>
      <c r="I65" s="37" t="inlineStr">
        <is>
          <t>Full upper-body flush, 10 min</t>
        </is>
      </c>
      <c r="J65" s="37" t="inlineStr">
        <is>
          <t>5 min intention setting</t>
        </is>
      </c>
      <c r="K65" s="37" t="inlineStr">
        <is>
          <t>Hotel: DB density supersets. No gym: push-up/row ladders + loaded carries with bags.</t>
        </is>
      </c>
      <c r="L65" s="37" t="inlineStr">
        <is>
          <t>Accumulation. Minimise rest, chase the pump at RPE 7 (2-3 RIR). Hybrid finisher: carries, burpees, lunges — no rower.</t>
        </is>
      </c>
      <c r="M65" s="45" t="n"/>
      <c r="N65" s="45" t="n"/>
      <c r="O65" s="46" t="n"/>
    </row>
    <row r="66" ht="50" customHeight="1">
      <c r="A66" s="28" t="n">
        <v>62</v>
      </c>
      <c r="B66" s="28" t="n">
        <v>9</v>
      </c>
      <c r="C66" s="43" t="n">
        <v>46256</v>
      </c>
      <c r="D66" s="28" t="inlineStr">
        <is>
          <t>Saturday</t>
        </is>
      </c>
      <c r="E66" s="44" t="inlineStr">
        <is>
          <t>Legs + Posterior Chain</t>
        </is>
      </c>
      <c r="F66" s="37" t="inlineStr">
        <is>
          <t>Deadlift / RDL 4x6. Front squat, Hip thrust, Nordic curl, Back extension 3x8-10.</t>
        </is>
      </c>
      <c r="G66" s="37" t="inlineStr">
        <is>
          <t>Long Ride 2h00 Zone 2 @ 132-177W</t>
        </is>
      </c>
      <c r="H66" s="28" t="inlineStr">
        <is>
          <t>Long</t>
        </is>
      </c>
      <c r="I66" s="37" t="inlineStr">
        <is>
          <t>Hamstring + glute release, 12 min</t>
        </is>
      </c>
      <c r="J66" s="37" t="inlineStr">
        <is>
          <t>10 min outdoor mindfulness</t>
        </is>
      </c>
      <c r="K66" s="37" t="inlineStr">
        <is>
          <t>Hotel: DB RDL + hip thrust. No gym: single-leg RDL, hip bridges, long Zone 2 ride/run.</t>
        </is>
      </c>
      <c r="L66" s="37" t="inlineStr">
        <is>
          <t>Accumulation. Heavy posterior chain 4x6 at RPE 7 (2-3 RIR). Fuel the long ride hourly to protect fat loss &amp; recovery.</t>
        </is>
      </c>
      <c r="M66" s="45" t="n"/>
      <c r="N66" s="45" t="n"/>
      <c r="O66" s="46" t="n"/>
    </row>
    <row r="67" ht="50" customHeight="1">
      <c r="A67" s="28" t="n">
        <v>63</v>
      </c>
      <c r="B67" s="28" t="n">
        <v>9</v>
      </c>
      <c r="C67" s="43" t="n">
        <v>46257</v>
      </c>
      <c r="D67" s="28" t="inlineStr">
        <is>
          <t>Sunday</t>
        </is>
      </c>
      <c r="E67" s="44" t="inlineStr">
        <is>
          <t>Arms + Core</t>
        </is>
      </c>
      <c r="F67" s="37" t="inlineStr">
        <is>
          <t>Barbell curl 4x6. Hammer curl, Skullcrusher, Rope pushdown, Hanging leg raise, Plank, Pallof press 3x8-10.</t>
        </is>
      </c>
      <c r="G67" s="37" t="inlineStr">
        <is>
          <t>Long Run 59 min easy (Zone 2)</t>
        </is>
      </c>
      <c r="H67" s="28" t="inlineStr">
        <is>
          <t>Long</t>
        </is>
      </c>
      <c r="I67" s="37" t="inlineStr">
        <is>
          <t>Spine + hip flow, 12 min</t>
        </is>
      </c>
      <c r="J67" s="37" t="inlineStr">
        <is>
          <t>10 min reflection / week review</t>
        </is>
      </c>
      <c r="K67" s="37" t="inlineStr">
        <is>
          <t>Hotel: DB arms + core circuit. No gym: band curls, dips, planks, long easy run.</t>
        </is>
      </c>
      <c r="L67" s="37" t="inlineStr">
        <is>
          <t>Accumulation. Arms &amp; core at RPE 7 (2-3 RIR). Long run is 80% easy volume — keep it conversational. Log the week's wins.</t>
        </is>
      </c>
      <c r="M67" s="45" t="n"/>
      <c r="N67" s="45" t="n"/>
      <c r="O67" s="46" t="n"/>
    </row>
    <row r="68" ht="50" customHeight="1">
      <c r="A68" s="47" t="n">
        <v>64</v>
      </c>
      <c r="B68" s="47" t="n">
        <v>10</v>
      </c>
      <c r="C68" s="48" t="n">
        <v>46258</v>
      </c>
      <c r="D68" s="47" t="inlineStr">
        <is>
          <t>Monday</t>
        </is>
      </c>
      <c r="E68" s="49" t="inlineStr">
        <is>
          <t>Chest + Biceps</t>
        </is>
      </c>
      <c r="F68" s="50" t="inlineStr">
        <is>
          <t>Barbell bench press 5x5. Incline DB press, Weighted dip, Cable fly, EZ-bar curl, Incline DB curl, Cable curl 4x10-12.</t>
        </is>
      </c>
      <c r="G68" s="50" t="inlineStr">
        <is>
          <t>Zone 2 Cycle 50 min @ 133-178W</t>
        </is>
      </c>
      <c r="H68" s="47" t="inlineStr">
        <is>
          <t>Easy</t>
        </is>
      </c>
      <c r="I68" s="50" t="inlineStr">
        <is>
          <t>Thoracic opener + pec stretch, 10 min</t>
        </is>
      </c>
      <c r="J68" s="50" t="inlineStr">
        <is>
          <t>5 min box breathing</t>
        </is>
      </c>
      <c r="K68" s="50" t="inlineStr">
        <is>
          <t>Hotel: DB press + DB curls. No gym: deep push-ups, band curls, slow tempo.</t>
        </is>
      </c>
      <c r="L68" s="50" t="inlineStr">
        <is>
          <t>Progression week. Bench 5x5 at RPE 7-8 (2 RIR); accessories 4x10-12. Cycle is true Zone 2 recovery — nose-breathing only.</t>
        </is>
      </c>
      <c r="M68" s="45" t="n"/>
      <c r="N68" s="45" t="n"/>
      <c r="O68" s="46" t="n"/>
    </row>
    <row r="69" ht="50" customHeight="1">
      <c r="A69" s="47" t="n">
        <v>65</v>
      </c>
      <c r="B69" s="47" t="n">
        <v>10</v>
      </c>
      <c r="C69" s="48" t="n">
        <v>46259</v>
      </c>
      <c r="D69" s="47" t="inlineStr">
        <is>
          <t>Tuesday</t>
        </is>
      </c>
      <c r="E69" s="49" t="inlineStr">
        <is>
          <t>Back + Triceps</t>
        </is>
      </c>
      <c r="F69" s="50" t="inlineStr">
        <is>
          <t>Weighted pull-up 5x5. Barbell row, Lat pulldown, Face pull, Close-grip bench, Rope pushdown, Overhead extension 4x10-12.</t>
        </is>
      </c>
      <c r="G69" s="50" t="inlineStr">
        <is>
          <t>VO2 Bike 6x3min @ 252-285W / 3min easy</t>
        </is>
      </c>
      <c r="H69" s="47" t="inlineStr">
        <is>
          <t>Hard</t>
        </is>
      </c>
      <c r="I69" s="50" t="inlineStr">
        <is>
          <t>Lat + lower-back decompression, 10 min</t>
        </is>
      </c>
      <c r="J69" s="50" t="inlineStr">
        <is>
          <t>5 min gratitude journaling</t>
        </is>
      </c>
      <c r="K69" s="50" t="inlineStr">
        <is>
          <t>Hotel: DB row + bench dips. No gym: doorway rows, band pulldown, diamond push-ups.</t>
        </is>
      </c>
      <c r="L69" s="50" t="inlineStr">
        <is>
          <t>Progression. Pulls 5x5 at RPE 7-8 (2 RIR). Fully recover between VO2 reps so you hit the watts every interval.</t>
        </is>
      </c>
      <c r="M69" s="45" t="n"/>
      <c r="N69" s="45" t="n"/>
      <c r="O69" s="46" t="n"/>
    </row>
    <row r="70" ht="50" customHeight="1">
      <c r="A70" s="47" t="n">
        <v>66</v>
      </c>
      <c r="B70" s="47" t="n">
        <v>10</v>
      </c>
      <c r="C70" s="48" t="n">
        <v>46260</v>
      </c>
      <c r="D70" s="47" t="inlineStr">
        <is>
          <t>Wednesday</t>
        </is>
      </c>
      <c r="E70" s="49" t="inlineStr">
        <is>
          <t>Legs Volume</t>
        </is>
      </c>
      <c r="F70" s="50" t="inlineStr">
        <is>
          <t>Back squat 5x5. Leg press, Walking lunge, Leg curl, Calf raise 4x10-12.</t>
        </is>
      </c>
      <c r="G70" s="50" t="inlineStr">
        <is>
          <t>Easy Run 40 min conversational (Zone 2)</t>
        </is>
      </c>
      <c r="H70" s="47" t="inlineStr">
        <is>
          <t>Easy</t>
        </is>
      </c>
      <c r="I70" s="50" t="inlineStr">
        <is>
          <t>Hip flexor + ankle mobility, 10 min</t>
        </is>
      </c>
      <c r="J70" s="50" t="inlineStr">
        <is>
          <t>5 min body scan</t>
        </is>
      </c>
      <c r="K70" s="50" t="inlineStr">
        <is>
          <t>Hotel: goblet squat + DB lunge. No gym: Bulgarian split squat, step-ups, tempo squats.</t>
        </is>
      </c>
      <c r="L70" s="50" t="inlineStr">
        <is>
          <t>Progression. Squat 5x5 at RPE 7-8 (2 RIR), accessories 4x10-12. Keep the run genuinely easy to aid leg recovery.</t>
        </is>
      </c>
      <c r="M70" s="45" t="n"/>
      <c r="N70" s="45" t="n"/>
      <c r="O70" s="46" t="n"/>
    </row>
    <row r="71" ht="50" customHeight="1">
      <c r="A71" s="47" t="n">
        <v>67</v>
      </c>
      <c r="B71" s="47" t="n">
        <v>10</v>
      </c>
      <c r="C71" s="48" t="n">
        <v>46261</v>
      </c>
      <c r="D71" s="47" t="inlineStr">
        <is>
          <t>Thursday</t>
        </is>
      </c>
      <c r="E71" s="49" t="inlineStr">
        <is>
          <t>Shoulders</t>
        </is>
      </c>
      <c r="F71" s="50" t="inlineStr">
        <is>
          <t>Overhead press 5x5. DB lateral raise, Rear-delt fly, Upright row, Shrug 4x10-12.</t>
        </is>
      </c>
      <c r="G71" s="50" t="inlineStr">
        <is>
          <t>Threshold Cycle 2x12min @ 216-249W</t>
        </is>
      </c>
      <c r="H71" s="47" t="inlineStr">
        <is>
          <t>Hard</t>
        </is>
      </c>
      <c r="I71" s="50" t="inlineStr">
        <is>
          <t>Shoulder CARs + band dislocates, 10 min</t>
        </is>
      </c>
      <c r="J71" s="50" t="inlineStr">
        <is>
          <t>5 min focus meditation</t>
        </is>
      </c>
      <c r="K71" s="50" t="inlineStr">
        <is>
          <t>Hotel: DB press + raises. No gym: pike push-ups, band laterals, backpack press.</t>
        </is>
      </c>
      <c r="L71" s="50" t="inlineStr">
        <is>
          <t>Progression. OHP 5x5 at RPE 7-8 (2 RIR); strict laterals. Threshold should feel 'comfortably hard', short phrases only.</t>
        </is>
      </c>
      <c r="M71" s="45" t="n"/>
      <c r="N71" s="45" t="n"/>
      <c r="O71" s="46" t="n"/>
    </row>
    <row r="72" ht="50" customHeight="1">
      <c r="A72" s="47" t="n">
        <v>68</v>
      </c>
      <c r="B72" s="47" t="n">
        <v>10</v>
      </c>
      <c r="C72" s="48" t="n">
        <v>46262</v>
      </c>
      <c r="D72" s="47" t="inlineStr">
        <is>
          <t>Friday</t>
        </is>
      </c>
      <c r="E72" s="49" t="inlineStr">
        <is>
          <t>Chest + Back Density</t>
        </is>
      </c>
      <c r="F72" s="50" t="inlineStr">
        <is>
          <t>Bench / row superset 5x5. Incline press, Chest-supported row, Cable fly, Lat pulldown 4x10-12.</t>
        </is>
      </c>
      <c r="G72" s="50" t="inlineStr">
        <is>
          <t>Hybrid 4 rounds: 40m carry + 12 burpees + 20 lunges</t>
        </is>
      </c>
      <c r="H72" s="47" t="inlineStr">
        <is>
          <t>Moderate</t>
        </is>
      </c>
      <c r="I72" s="50" t="inlineStr">
        <is>
          <t>Full upper-body flush, 10 min</t>
        </is>
      </c>
      <c r="J72" s="50" t="inlineStr">
        <is>
          <t>5 min intention setting</t>
        </is>
      </c>
      <c r="K72" s="50" t="inlineStr">
        <is>
          <t>Hotel: DB density supersets. No gym: push-up/row ladders + loaded carries with bags.</t>
        </is>
      </c>
      <c r="L72" s="50" t="inlineStr">
        <is>
          <t>Progression. Minimise rest, chase the pump at RPE 7-8 (2 RIR). Hybrid finisher: carries, burpees, lunges — no rower.</t>
        </is>
      </c>
      <c r="M72" s="45" t="n"/>
      <c r="N72" s="45" t="n"/>
      <c r="O72" s="46" t="n"/>
    </row>
    <row r="73" ht="50" customHeight="1">
      <c r="A73" s="47" t="n">
        <v>69</v>
      </c>
      <c r="B73" s="47" t="n">
        <v>10</v>
      </c>
      <c r="C73" s="48" t="n">
        <v>46263</v>
      </c>
      <c r="D73" s="47" t="inlineStr">
        <is>
          <t>Saturday</t>
        </is>
      </c>
      <c r="E73" s="49" t="inlineStr">
        <is>
          <t>Legs + Posterior Chain</t>
        </is>
      </c>
      <c r="F73" s="50" t="inlineStr">
        <is>
          <t>Deadlift / RDL 5x5. Front squat, Hip thrust, Nordic curl, Back extension 4x10-12.</t>
        </is>
      </c>
      <c r="G73" s="50" t="inlineStr">
        <is>
          <t>Long Ride 2h00 Zone 2 @ 133-178W</t>
        </is>
      </c>
      <c r="H73" s="47" t="inlineStr">
        <is>
          <t>Long</t>
        </is>
      </c>
      <c r="I73" s="50" t="inlineStr">
        <is>
          <t>Hamstring + glute release, 12 min</t>
        </is>
      </c>
      <c r="J73" s="50" t="inlineStr">
        <is>
          <t>10 min outdoor mindfulness</t>
        </is>
      </c>
      <c r="K73" s="50" t="inlineStr">
        <is>
          <t>Hotel: DB RDL + hip thrust. No gym: single-leg RDL, hip bridges, long Zone 2 ride/run.</t>
        </is>
      </c>
      <c r="L73" s="50" t="inlineStr">
        <is>
          <t>Progression. Heavy posterior chain 5x5 at RPE 7-8 (2 RIR). Fuel the long ride hourly to protect fat loss &amp; recovery.</t>
        </is>
      </c>
      <c r="M73" s="45" t="n"/>
      <c r="N73" s="45" t="n"/>
      <c r="O73" s="46" t="n"/>
    </row>
    <row r="74" ht="50" customHeight="1">
      <c r="A74" s="47" t="n">
        <v>70</v>
      </c>
      <c r="B74" s="47" t="n">
        <v>10</v>
      </c>
      <c r="C74" s="48" t="n">
        <v>46264</v>
      </c>
      <c r="D74" s="47" t="inlineStr">
        <is>
          <t>Sunday</t>
        </is>
      </c>
      <c r="E74" s="49" t="inlineStr">
        <is>
          <t>Arms + Core</t>
        </is>
      </c>
      <c r="F74" s="50" t="inlineStr">
        <is>
          <t>Barbell curl 5x5. Hammer curl, Skullcrusher, Rope pushdown, Hanging leg raise, Plank, Pallof press 4x10-12.</t>
        </is>
      </c>
      <c r="G74" s="50" t="inlineStr">
        <is>
          <t>Long Run 59 min easy (Zone 2)</t>
        </is>
      </c>
      <c r="H74" s="47" t="inlineStr">
        <is>
          <t>Long</t>
        </is>
      </c>
      <c r="I74" s="50" t="inlineStr">
        <is>
          <t>Spine + hip flow, 12 min</t>
        </is>
      </c>
      <c r="J74" s="50" t="inlineStr">
        <is>
          <t>10 min reflection / week review</t>
        </is>
      </c>
      <c r="K74" s="50" t="inlineStr">
        <is>
          <t>Hotel: DB arms + core circuit. No gym: band curls, dips, planks, long easy run.</t>
        </is>
      </c>
      <c r="L74" s="50" t="inlineStr">
        <is>
          <t>Progression. Arms &amp; core at RPE 7-8 (2 RIR). Long run is 80% easy volume — keep it conversational. Log the week's wins.</t>
        </is>
      </c>
      <c r="M74" s="45" t="n"/>
      <c r="N74" s="45" t="n"/>
      <c r="O74" s="46" t="n"/>
    </row>
    <row r="75" ht="50" customHeight="1">
      <c r="A75" s="28" t="n">
        <v>71</v>
      </c>
      <c r="B75" s="28" t="n">
        <v>11</v>
      </c>
      <c r="C75" s="43" t="n">
        <v>46265</v>
      </c>
      <c r="D75" s="28" t="inlineStr">
        <is>
          <t>Monday</t>
        </is>
      </c>
      <c r="E75" s="44" t="inlineStr">
        <is>
          <t>Chest + Biceps</t>
        </is>
      </c>
      <c r="F75" s="37" t="inlineStr">
        <is>
          <t>Barbell bench press 5x5 (RPE8). Incline DB press, Weighted dip, Cable fly, EZ-bar curl, Incline DB curl, Cable curl 4x12-15.</t>
        </is>
      </c>
      <c r="G75" s="37" t="inlineStr">
        <is>
          <t>Zone 2 Cycle 1h00 @ 134-180W</t>
        </is>
      </c>
      <c r="H75" s="28" t="inlineStr">
        <is>
          <t>Easy</t>
        </is>
      </c>
      <c r="I75" s="37" t="inlineStr">
        <is>
          <t>Thoracic opener + pec stretch, 10 min</t>
        </is>
      </c>
      <c r="J75" s="37" t="inlineStr">
        <is>
          <t>5 min box breathing</t>
        </is>
      </c>
      <c r="K75" s="37" t="inlineStr">
        <is>
          <t>Hotel: DB press + DB curls. No gym: deep push-ups, band curls, slow tempo.</t>
        </is>
      </c>
      <c r="L75" s="37" t="inlineStr">
        <is>
          <t>Peak Volume week. Bench 5x5 (RPE8) at RPE 8 (1-2 RIR); accessories 4x12-15. Cycle is true Zone 2 recovery — nose-breathing only.</t>
        </is>
      </c>
      <c r="M75" s="45" t="n"/>
      <c r="N75" s="45" t="n"/>
      <c r="O75" s="46" t="n"/>
    </row>
    <row r="76" ht="50" customHeight="1">
      <c r="A76" s="28" t="n">
        <v>72</v>
      </c>
      <c r="B76" s="28" t="n">
        <v>11</v>
      </c>
      <c r="C76" s="43" t="n">
        <v>46266</v>
      </c>
      <c r="D76" s="28" t="inlineStr">
        <is>
          <t>Tuesday</t>
        </is>
      </c>
      <c r="E76" s="44" t="inlineStr">
        <is>
          <t>Back + Triceps</t>
        </is>
      </c>
      <c r="F76" s="37" t="inlineStr">
        <is>
          <t>Weighted pull-up 5x5 (RPE8). Barbell row, Lat pulldown, Face pull, Close-grip bench, Rope pushdown, Overhead extension 4x12-15.</t>
        </is>
      </c>
      <c r="G76" s="37" t="inlineStr">
        <is>
          <t>VO2 Bike 6x3min @ 255-289W / 3min easy</t>
        </is>
      </c>
      <c r="H76" s="28" t="inlineStr">
        <is>
          <t>Hard</t>
        </is>
      </c>
      <c r="I76" s="37" t="inlineStr">
        <is>
          <t>Lat + lower-back decompression, 10 min</t>
        </is>
      </c>
      <c r="J76" s="37" t="inlineStr">
        <is>
          <t>5 min gratitude journaling</t>
        </is>
      </c>
      <c r="K76" s="37" t="inlineStr">
        <is>
          <t>Hotel: DB row + bench dips. No gym: doorway rows, band pulldown, diamond push-ups.</t>
        </is>
      </c>
      <c r="L76" s="37" t="inlineStr">
        <is>
          <t>Peak Volume. Pulls 5x5 (RPE8) at RPE 8 (1-2 RIR). Fully recover between VO2 reps so you hit the watts every interval.</t>
        </is>
      </c>
      <c r="M76" s="45" t="n"/>
      <c r="N76" s="45" t="n"/>
      <c r="O76" s="46" t="n"/>
    </row>
    <row r="77" ht="50" customHeight="1">
      <c r="A77" s="28" t="n">
        <v>73</v>
      </c>
      <c r="B77" s="28" t="n">
        <v>11</v>
      </c>
      <c r="C77" s="43" t="n">
        <v>46267</v>
      </c>
      <c r="D77" s="28" t="inlineStr">
        <is>
          <t>Wednesday</t>
        </is>
      </c>
      <c r="E77" s="44" t="inlineStr">
        <is>
          <t>Legs Volume</t>
        </is>
      </c>
      <c r="F77" s="37" t="inlineStr">
        <is>
          <t>Back squat 5x5 (RPE8). Leg press, Walking lunge, Leg curl, Calf raise 4x12-15.</t>
        </is>
      </c>
      <c r="G77" s="37" t="inlineStr">
        <is>
          <t>Easy Run 45 min conversational (Zone 2)</t>
        </is>
      </c>
      <c r="H77" s="28" t="inlineStr">
        <is>
          <t>Easy</t>
        </is>
      </c>
      <c r="I77" s="37" t="inlineStr">
        <is>
          <t>Hip flexor + ankle mobility, 10 min</t>
        </is>
      </c>
      <c r="J77" s="37" t="inlineStr">
        <is>
          <t>5 min body scan</t>
        </is>
      </c>
      <c r="K77" s="37" t="inlineStr">
        <is>
          <t>Hotel: goblet squat + DB lunge. No gym: Bulgarian split squat, step-ups, tempo squats.</t>
        </is>
      </c>
      <c r="L77" s="37" t="inlineStr">
        <is>
          <t>Peak Volume. Squat 5x5 (RPE8) at RPE 8 (1-2 RIR), accessories 4x12-15. Keep the run genuinely easy to aid leg recovery.</t>
        </is>
      </c>
      <c r="M77" s="45" t="n"/>
      <c r="N77" s="45" t="n"/>
      <c r="O77" s="46" t="n"/>
    </row>
    <row r="78" ht="50" customHeight="1">
      <c r="A78" s="28" t="n">
        <v>74</v>
      </c>
      <c r="B78" s="28" t="n">
        <v>11</v>
      </c>
      <c r="C78" s="43" t="n">
        <v>46268</v>
      </c>
      <c r="D78" s="28" t="inlineStr">
        <is>
          <t>Thursday</t>
        </is>
      </c>
      <c r="E78" s="44" t="inlineStr">
        <is>
          <t>Shoulders</t>
        </is>
      </c>
      <c r="F78" s="37" t="inlineStr">
        <is>
          <t>Overhead press 5x5 (RPE8). DB lateral raise, Rear-delt fly, Upright row, Shrug 4x12-15.</t>
        </is>
      </c>
      <c r="G78" s="37" t="inlineStr">
        <is>
          <t>Threshold Cycle 3x12min @ 219-253W</t>
        </is>
      </c>
      <c r="H78" s="28" t="inlineStr">
        <is>
          <t>Hard</t>
        </is>
      </c>
      <c r="I78" s="37" t="inlineStr">
        <is>
          <t>Shoulder CARs + band dislocates, 10 min</t>
        </is>
      </c>
      <c r="J78" s="37" t="inlineStr">
        <is>
          <t>5 min focus meditation</t>
        </is>
      </c>
      <c r="K78" s="37" t="inlineStr">
        <is>
          <t>Hotel: DB press + raises. No gym: pike push-ups, band laterals, backpack press.</t>
        </is>
      </c>
      <c r="L78" s="37" t="inlineStr">
        <is>
          <t>Peak Volume. OHP 5x5 (RPE8) at RPE 8 (1-2 RIR); strict laterals. Threshold should feel 'comfortably hard', short phrases only.</t>
        </is>
      </c>
      <c r="M78" s="45" t="n"/>
      <c r="N78" s="45" t="n"/>
      <c r="O78" s="46" t="n"/>
    </row>
    <row r="79" ht="50" customHeight="1">
      <c r="A79" s="28" t="n">
        <v>75</v>
      </c>
      <c r="B79" s="28" t="n">
        <v>11</v>
      </c>
      <c r="C79" s="43" t="n">
        <v>46269</v>
      </c>
      <c r="D79" s="28" t="inlineStr">
        <is>
          <t>Friday</t>
        </is>
      </c>
      <c r="E79" s="44" t="inlineStr">
        <is>
          <t>Chest + Back Density</t>
        </is>
      </c>
      <c r="F79" s="37" t="inlineStr">
        <is>
          <t>Bench / row superset 5x5 (RPE8). Incline press, Chest-supported row, Cable fly, Lat pulldown 4x12-15.</t>
        </is>
      </c>
      <c r="G79" s="37" t="inlineStr">
        <is>
          <t>Hybrid 5 rounds: 40m carry + 12 burpees + 20 lunges</t>
        </is>
      </c>
      <c r="H79" s="28" t="inlineStr">
        <is>
          <t>Moderate</t>
        </is>
      </c>
      <c r="I79" s="37" t="inlineStr">
        <is>
          <t>Full upper-body flush, 10 min</t>
        </is>
      </c>
      <c r="J79" s="37" t="inlineStr">
        <is>
          <t>5 min intention setting</t>
        </is>
      </c>
      <c r="K79" s="37" t="inlineStr">
        <is>
          <t>Hotel: DB density supersets. No gym: push-up/row ladders + loaded carries with bags.</t>
        </is>
      </c>
      <c r="L79" s="37" t="inlineStr">
        <is>
          <t>Peak Volume. Minimise rest, chase the pump at RPE 8 (1-2 RIR). Hybrid finisher: carries, burpees, lunges — no rower.</t>
        </is>
      </c>
      <c r="M79" s="45" t="n"/>
      <c r="N79" s="45" t="n"/>
      <c r="O79" s="46" t="n"/>
    </row>
    <row r="80" ht="50" customHeight="1">
      <c r="A80" s="28" t="n">
        <v>76</v>
      </c>
      <c r="B80" s="28" t="n">
        <v>11</v>
      </c>
      <c r="C80" s="43" t="n">
        <v>46270</v>
      </c>
      <c r="D80" s="28" t="inlineStr">
        <is>
          <t>Saturday</t>
        </is>
      </c>
      <c r="E80" s="44" t="inlineStr">
        <is>
          <t>Legs + Posterior Chain</t>
        </is>
      </c>
      <c r="F80" s="37" t="inlineStr">
        <is>
          <t>Deadlift / RDL 5x5 (RPE8). Front squat, Hip thrust, Nordic curl, Back extension 4x12-15.</t>
        </is>
      </c>
      <c r="G80" s="37" t="inlineStr">
        <is>
          <t>Long Ride 2h15 Zone 2 @ 134-180W</t>
        </is>
      </c>
      <c r="H80" s="28" t="inlineStr">
        <is>
          <t>Long</t>
        </is>
      </c>
      <c r="I80" s="37" t="inlineStr">
        <is>
          <t>Hamstring + glute release, 12 min</t>
        </is>
      </c>
      <c r="J80" s="37" t="inlineStr">
        <is>
          <t>10 min outdoor mindfulness</t>
        </is>
      </c>
      <c r="K80" s="37" t="inlineStr">
        <is>
          <t>Hotel: DB RDL + hip thrust. No gym: single-leg RDL, hip bridges, long Zone 2 ride/run.</t>
        </is>
      </c>
      <c r="L80" s="37" t="inlineStr">
        <is>
          <t>Peak Volume. Heavy posterior chain 5x5 (RPE8) at RPE 8 (1-2 RIR). Fuel the long ride hourly to protect fat loss &amp; recovery.</t>
        </is>
      </c>
      <c r="M80" s="45" t="n"/>
      <c r="N80" s="45" t="n"/>
      <c r="O80" s="46" t="n"/>
    </row>
    <row r="81" ht="50" customHeight="1">
      <c r="A81" s="28" t="n">
        <v>77</v>
      </c>
      <c r="B81" s="28" t="n">
        <v>11</v>
      </c>
      <c r="C81" s="43" t="n">
        <v>46271</v>
      </c>
      <c r="D81" s="28" t="inlineStr">
        <is>
          <t>Sunday</t>
        </is>
      </c>
      <c r="E81" s="44" t="inlineStr">
        <is>
          <t>Arms + Core</t>
        </is>
      </c>
      <c r="F81" s="37" t="inlineStr">
        <is>
          <t>Barbell curl 5x5 (RPE8). Hammer curl, Skullcrusher, Rope pushdown, Hanging leg raise, Plank, Pallof press 4x12-15.</t>
        </is>
      </c>
      <c r="G81" s="37" t="inlineStr">
        <is>
          <t>Long Run 1h07 easy (Zone 2)</t>
        </is>
      </c>
      <c r="H81" s="28" t="inlineStr">
        <is>
          <t>Long</t>
        </is>
      </c>
      <c r="I81" s="37" t="inlineStr">
        <is>
          <t>Spine + hip flow, 12 min</t>
        </is>
      </c>
      <c r="J81" s="37" t="inlineStr">
        <is>
          <t>10 min reflection / week review</t>
        </is>
      </c>
      <c r="K81" s="37" t="inlineStr">
        <is>
          <t>Hotel: DB arms + core circuit. No gym: band curls, dips, planks, long easy run.</t>
        </is>
      </c>
      <c r="L81" s="37" t="inlineStr">
        <is>
          <t>Peak Volume. Arms &amp; core at RPE 8 (1-2 RIR). Long run is 80% easy volume — keep it conversational. Log the week's wins.</t>
        </is>
      </c>
      <c r="M81" s="45" t="n"/>
      <c r="N81" s="45" t="n"/>
      <c r="O81" s="46" t="n"/>
    </row>
    <row r="82" ht="50" customHeight="1">
      <c r="A82" s="47" t="n">
        <v>78</v>
      </c>
      <c r="B82" s="47" t="n">
        <v>12</v>
      </c>
      <c r="C82" s="48" t="n">
        <v>46272</v>
      </c>
      <c r="D82" s="47" t="inlineStr">
        <is>
          <t>Monday</t>
        </is>
      </c>
      <c r="E82" s="49" t="inlineStr">
        <is>
          <t>Chest + Biceps</t>
        </is>
      </c>
      <c r="F82" s="50" t="inlineStr">
        <is>
          <t>DELOAD — Barbell bench press 3x5 light. Incline DB press, Weighted dip, Cable fly, EZ-bar curl, Incline DB curl, Cable curl 2x8 (-40% vol).</t>
        </is>
      </c>
      <c r="G82" s="50" t="inlineStr">
        <is>
          <t>Zone 2 Cycle 30 min @ 134-180W</t>
        </is>
      </c>
      <c r="H82" s="47" t="inlineStr">
        <is>
          <t>Easy</t>
        </is>
      </c>
      <c r="I82" s="50" t="inlineStr">
        <is>
          <t>Thoracic opener + pec stretch, 10 min</t>
        </is>
      </c>
      <c r="J82" s="50" t="inlineStr">
        <is>
          <t>5 min box breathing</t>
        </is>
      </c>
      <c r="K82" s="50" t="inlineStr">
        <is>
          <t>Hotel: DB press + DB curls. No gym: deep push-ups, band curls, slow tempo.</t>
        </is>
      </c>
      <c r="L82" s="50" t="inlineStr">
        <is>
          <t>Deload week. Bench 3x5 light at RPE 5-6 (deload); accessories 2x8 (-40% vol). Cycle is true Zone 2 recovery — nose-breathing only.</t>
        </is>
      </c>
      <c r="M82" s="45" t="n"/>
      <c r="N82" s="45" t="n"/>
      <c r="O82" s="46" t="n"/>
    </row>
    <row r="83" ht="50" customHeight="1">
      <c r="A83" s="47" t="n">
        <v>79</v>
      </c>
      <c r="B83" s="47" t="n">
        <v>12</v>
      </c>
      <c r="C83" s="48" t="n">
        <v>46273</v>
      </c>
      <c r="D83" s="47" t="inlineStr">
        <is>
          <t>Tuesday</t>
        </is>
      </c>
      <c r="E83" s="49" t="inlineStr">
        <is>
          <t>Back + Triceps</t>
        </is>
      </c>
      <c r="F83" s="50" t="inlineStr">
        <is>
          <t>DELOAD — Weighted pull-up 3x5 light. Barbell row, Lat pulldown, Face pull, Close-grip bench, Rope pushdown, Overhead extension 2x8 (-40% vol).</t>
        </is>
      </c>
      <c r="G83" s="50" t="inlineStr">
        <is>
          <t>VO2 Bike 3x3min @ 255-289W / 3min easy</t>
        </is>
      </c>
      <c r="H83" s="47" t="inlineStr">
        <is>
          <t>Moderate</t>
        </is>
      </c>
      <c r="I83" s="50" t="inlineStr">
        <is>
          <t>Lat + lower-back decompression, 10 min</t>
        </is>
      </c>
      <c r="J83" s="50" t="inlineStr">
        <is>
          <t>5 min gratitude journaling</t>
        </is>
      </c>
      <c r="K83" s="50" t="inlineStr">
        <is>
          <t>Hotel: DB row + bench dips. No gym: doorway rows, band pulldown, diamond push-ups.</t>
        </is>
      </c>
      <c r="L83" s="50" t="inlineStr">
        <is>
          <t>Deload. Pulls 3x5 light at RPE 5-6 (deload). Fully recover between VO2 reps so you hit the watts every interval.</t>
        </is>
      </c>
      <c r="M83" s="45" t="n"/>
      <c r="N83" s="45" t="n"/>
      <c r="O83" s="46" t="n"/>
    </row>
    <row r="84" ht="50" customHeight="1">
      <c r="A84" s="47" t="n">
        <v>80</v>
      </c>
      <c r="B84" s="47" t="n">
        <v>12</v>
      </c>
      <c r="C84" s="48" t="n">
        <v>46274</v>
      </c>
      <c r="D84" s="47" t="inlineStr">
        <is>
          <t>Wednesday</t>
        </is>
      </c>
      <c r="E84" s="49" t="inlineStr">
        <is>
          <t>Legs Volume</t>
        </is>
      </c>
      <c r="F84" s="50" t="inlineStr">
        <is>
          <t>DELOAD — Back squat 3x5 light. Leg press, Walking lunge, Leg curl, Calf raise 2x8 (-40% vol).</t>
        </is>
      </c>
      <c r="G84" s="50" t="inlineStr">
        <is>
          <t>Easy Run 25 min conversational (Zone 2)</t>
        </is>
      </c>
      <c r="H84" s="47" t="inlineStr">
        <is>
          <t>Easy</t>
        </is>
      </c>
      <c r="I84" s="50" t="inlineStr">
        <is>
          <t>Hip flexor + ankle mobility, 10 min</t>
        </is>
      </c>
      <c r="J84" s="50" t="inlineStr">
        <is>
          <t>5 min body scan</t>
        </is>
      </c>
      <c r="K84" s="50" t="inlineStr">
        <is>
          <t>Hotel: goblet squat + DB lunge. No gym: Bulgarian split squat, step-ups, tempo squats.</t>
        </is>
      </c>
      <c r="L84" s="50" t="inlineStr">
        <is>
          <t>Deload. Squat 3x5 light at RPE 5-6 (deload), accessories 2x8 (-40% vol). Keep the run genuinely easy to aid leg recovery.</t>
        </is>
      </c>
      <c r="M84" s="45" t="n"/>
      <c r="N84" s="45" t="n"/>
      <c r="O84" s="46" t="n"/>
    </row>
    <row r="85" ht="50" customHeight="1">
      <c r="A85" s="47" t="n">
        <v>81</v>
      </c>
      <c r="B85" s="47" t="n">
        <v>12</v>
      </c>
      <c r="C85" s="48" t="n">
        <v>46275</v>
      </c>
      <c r="D85" s="47" t="inlineStr">
        <is>
          <t>Thursday</t>
        </is>
      </c>
      <c r="E85" s="49" t="inlineStr">
        <is>
          <t>Shoulders</t>
        </is>
      </c>
      <c r="F85" s="50" t="inlineStr">
        <is>
          <t>DELOAD — Overhead press 3x5 light. DB lateral raise, Rear-delt fly, Upright row, Shrug 2x8 (-40% vol).</t>
        </is>
      </c>
      <c r="G85" s="50" t="inlineStr">
        <is>
          <t>Threshold Cycle 2x8min @ 219-253W</t>
        </is>
      </c>
      <c r="H85" s="47" t="inlineStr">
        <is>
          <t>Moderate</t>
        </is>
      </c>
      <c r="I85" s="50" t="inlineStr">
        <is>
          <t>Shoulder CARs + band dislocates, 10 min</t>
        </is>
      </c>
      <c r="J85" s="50" t="inlineStr">
        <is>
          <t>5 min focus meditation</t>
        </is>
      </c>
      <c r="K85" s="50" t="inlineStr">
        <is>
          <t>Hotel: DB press + raises. No gym: pike push-ups, band laterals, backpack press.</t>
        </is>
      </c>
      <c r="L85" s="50" t="inlineStr">
        <is>
          <t>Deload. OHP 3x5 light at RPE 5-6 (deload); strict laterals. Threshold should feel 'comfortably hard', short phrases only.</t>
        </is>
      </c>
      <c r="M85" s="45" t="n"/>
      <c r="N85" s="45" t="n"/>
      <c r="O85" s="46" t="n"/>
    </row>
    <row r="86" ht="50" customHeight="1">
      <c r="A86" s="47" t="n">
        <v>82</v>
      </c>
      <c r="B86" s="47" t="n">
        <v>12</v>
      </c>
      <c r="C86" s="48" t="n">
        <v>46276</v>
      </c>
      <c r="D86" s="47" t="inlineStr">
        <is>
          <t>Friday</t>
        </is>
      </c>
      <c r="E86" s="49" t="inlineStr">
        <is>
          <t>Chest + Back Density</t>
        </is>
      </c>
      <c r="F86" s="50" t="inlineStr">
        <is>
          <t>DELOAD — Bench / row superset 3x5 light. Incline press, Chest-supported row, Cable fly, Lat pulldown 2x8 (-40% vol).</t>
        </is>
      </c>
      <c r="G86" s="50" t="inlineStr">
        <is>
          <t>Hybrid 3 rounds: 40m carry + 12 burpees + 20 lunges</t>
        </is>
      </c>
      <c r="H86" s="47" t="inlineStr">
        <is>
          <t>Moderate</t>
        </is>
      </c>
      <c r="I86" s="50" t="inlineStr">
        <is>
          <t>Full upper-body flush, 10 min</t>
        </is>
      </c>
      <c r="J86" s="50" t="inlineStr">
        <is>
          <t>5 min intention setting</t>
        </is>
      </c>
      <c r="K86" s="50" t="inlineStr">
        <is>
          <t>Hotel: DB density supersets. No gym: push-up/row ladders + loaded carries with bags.</t>
        </is>
      </c>
      <c r="L86" s="50" t="inlineStr">
        <is>
          <t>Deload. Minimise rest, chase the pump at RPE 5-6 (deload). Hybrid finisher: carries, burpees, lunges — no rower.</t>
        </is>
      </c>
      <c r="M86" s="45" t="n"/>
      <c r="N86" s="45" t="n"/>
      <c r="O86" s="46" t="n"/>
    </row>
    <row r="87" ht="50" customHeight="1">
      <c r="A87" s="47" t="n">
        <v>83</v>
      </c>
      <c r="B87" s="47" t="n">
        <v>12</v>
      </c>
      <c r="C87" s="48" t="n">
        <v>46277</v>
      </c>
      <c r="D87" s="47" t="inlineStr">
        <is>
          <t>Saturday</t>
        </is>
      </c>
      <c r="E87" s="49" t="inlineStr">
        <is>
          <t>Legs + Posterior Chain</t>
        </is>
      </c>
      <c r="F87" s="50" t="inlineStr">
        <is>
          <t>DELOAD — Deadlift / RDL 3x5 light. Front squat, Hip thrust, Nordic curl, Back extension 2x8 (-40% vol).</t>
        </is>
      </c>
      <c r="G87" s="50" t="inlineStr">
        <is>
          <t>Long Ride 1h00 Zone 2 @ 134-180W</t>
        </is>
      </c>
      <c r="H87" s="47" t="inlineStr">
        <is>
          <t>Long</t>
        </is>
      </c>
      <c r="I87" s="50" t="inlineStr">
        <is>
          <t>Hamstring + glute release, 12 min</t>
        </is>
      </c>
      <c r="J87" s="50" t="inlineStr">
        <is>
          <t>10 min outdoor mindfulness</t>
        </is>
      </c>
      <c r="K87" s="50" t="inlineStr">
        <is>
          <t>Hotel: DB RDL + hip thrust. No gym: single-leg RDL, hip bridges, long Zone 2 ride/run.</t>
        </is>
      </c>
      <c r="L87" s="50" t="inlineStr">
        <is>
          <t>Deload. Heavy posterior chain 3x5 light at RPE 5-6 (deload). Fuel the long ride hourly to protect fat loss &amp; recovery.</t>
        </is>
      </c>
      <c r="M87" s="45" t="n"/>
      <c r="N87" s="45" t="n"/>
      <c r="O87" s="46" t="n"/>
    </row>
    <row r="88" ht="50" customHeight="1">
      <c r="A88" s="47" t="n">
        <v>84</v>
      </c>
      <c r="B88" s="47" t="n">
        <v>12</v>
      </c>
      <c r="C88" s="48" t="n">
        <v>46278</v>
      </c>
      <c r="D88" s="47" t="inlineStr">
        <is>
          <t>Sunday</t>
        </is>
      </c>
      <c r="E88" s="49" t="inlineStr">
        <is>
          <t>Arms + Core</t>
        </is>
      </c>
      <c r="F88" s="50" t="inlineStr">
        <is>
          <t>DELOAD — Barbell curl 3x5 light. Hammer curl, Skullcrusher, Rope pushdown, Hanging leg raise, Plank, Pallof press 2x8 (-40% vol).</t>
        </is>
      </c>
      <c r="G88" s="50" t="inlineStr">
        <is>
          <t>Long Run 35 min easy (Zone 2)</t>
        </is>
      </c>
      <c r="H88" s="47" t="inlineStr">
        <is>
          <t>Long</t>
        </is>
      </c>
      <c r="I88" s="50" t="inlineStr">
        <is>
          <t>Spine + hip flow, 12 min</t>
        </is>
      </c>
      <c r="J88" s="50" t="inlineStr">
        <is>
          <t>10 min reflection / week review</t>
        </is>
      </c>
      <c r="K88" s="50" t="inlineStr">
        <is>
          <t>Hotel: DB arms + core circuit. No gym: band curls, dips, planks, long easy run.</t>
        </is>
      </c>
      <c r="L88" s="50" t="inlineStr">
        <is>
          <t>Deload. Arms &amp; core at RPE 5-6 (deload). Long run is 80% easy volume — keep it conversational. Log the week's wins.</t>
        </is>
      </c>
      <c r="M88" s="45" t="n"/>
      <c r="N88" s="45" t="n"/>
      <c r="O88" s="46" t="n"/>
    </row>
    <row r="89" ht="50" customHeight="1">
      <c r="A89" s="28" t="n">
        <v>85</v>
      </c>
      <c r="B89" s="28" t="n">
        <v>13</v>
      </c>
      <c r="C89" s="43" t="n">
        <v>46279</v>
      </c>
      <c r="D89" s="28" t="inlineStr">
        <is>
          <t>Monday</t>
        </is>
      </c>
      <c r="E89" s="44" t="inlineStr">
        <is>
          <t>Chest + Biceps</t>
        </is>
      </c>
      <c r="F89" s="37" t="inlineStr">
        <is>
          <t>Barbell bench press 4x6. Incline DB press, Weighted dip, Cable fly, EZ-bar curl, Incline DB curl, Cable curl 3x8-10.</t>
        </is>
      </c>
      <c r="G89" s="37" t="inlineStr">
        <is>
          <t>Zone 2 Cycle 55 min @ 137-184W</t>
        </is>
      </c>
      <c r="H89" s="28" t="inlineStr">
        <is>
          <t>Easy</t>
        </is>
      </c>
      <c r="I89" s="37" t="inlineStr">
        <is>
          <t>Thoracic opener + pec stretch, 10 min</t>
        </is>
      </c>
      <c r="J89" s="37" t="inlineStr">
        <is>
          <t>5 min box breathing</t>
        </is>
      </c>
      <c r="K89" s="37" t="inlineStr">
        <is>
          <t>Hotel: DB press + DB curls. No gym: deep push-ups, band curls, slow tempo.</t>
        </is>
      </c>
      <c r="L89" s="37" t="inlineStr">
        <is>
          <t>Accumulation week. Bench 4x6 at RPE 7 (2-3 RIR); accessories 3x8-10. Cycle is true Zone 2 recovery — nose-breathing only.</t>
        </is>
      </c>
      <c r="M89" s="45" t="n"/>
      <c r="N89" s="45" t="n"/>
      <c r="O89" s="46" t="n"/>
    </row>
    <row r="90" ht="50" customHeight="1">
      <c r="A90" s="28" t="n">
        <v>86</v>
      </c>
      <c r="B90" s="28" t="n">
        <v>13</v>
      </c>
      <c r="C90" s="43" t="n">
        <v>46280</v>
      </c>
      <c r="D90" s="28" t="inlineStr">
        <is>
          <t>Tuesday</t>
        </is>
      </c>
      <c r="E90" s="44" t="inlineStr">
        <is>
          <t>Back + Triceps</t>
        </is>
      </c>
      <c r="F90" s="37" t="inlineStr">
        <is>
          <t>Weighted pull-up 4x6. Barbell row, Lat pulldown, Face pull, Close-grip bench, Rope pushdown, Overhead extension 3x8-10.</t>
        </is>
      </c>
      <c r="G90" s="37" t="inlineStr">
        <is>
          <t>VO2 Bike 6x3min @ 260-295W / 3min easy</t>
        </is>
      </c>
      <c r="H90" s="28" t="inlineStr">
        <is>
          <t>Hard</t>
        </is>
      </c>
      <c r="I90" s="37" t="inlineStr">
        <is>
          <t>Lat + lower-back decompression, 10 min</t>
        </is>
      </c>
      <c r="J90" s="37" t="inlineStr">
        <is>
          <t>5 min gratitude journaling</t>
        </is>
      </c>
      <c r="K90" s="37" t="inlineStr">
        <is>
          <t>Hotel: DB row + bench dips. No gym: doorway rows, band pulldown, diamond push-ups.</t>
        </is>
      </c>
      <c r="L90" s="37" t="inlineStr">
        <is>
          <t>Accumulation. Pulls 4x6 at RPE 7 (2-3 RIR). Fully recover between VO2 reps so you hit the watts every interval.</t>
        </is>
      </c>
      <c r="M90" s="45" t="n"/>
      <c r="N90" s="45" t="n"/>
      <c r="O90" s="46" t="n"/>
    </row>
    <row r="91" ht="50" customHeight="1">
      <c r="A91" s="28" t="n">
        <v>87</v>
      </c>
      <c r="B91" s="28" t="n">
        <v>13</v>
      </c>
      <c r="C91" s="43" t="n">
        <v>46281</v>
      </c>
      <c r="D91" s="28" t="inlineStr">
        <is>
          <t>Wednesday</t>
        </is>
      </c>
      <c r="E91" s="44" t="inlineStr">
        <is>
          <t>Legs Volume</t>
        </is>
      </c>
      <c r="F91" s="37" t="inlineStr">
        <is>
          <t>Back squat 4x6. Leg press, Walking lunge, Leg curl, Calf raise 3x8-10.</t>
        </is>
      </c>
      <c r="G91" s="37" t="inlineStr">
        <is>
          <t>Easy Run 45 min conversational (Zone 2)</t>
        </is>
      </c>
      <c r="H91" s="28" t="inlineStr">
        <is>
          <t>Easy</t>
        </is>
      </c>
      <c r="I91" s="37" t="inlineStr">
        <is>
          <t>Hip flexor + ankle mobility, 10 min</t>
        </is>
      </c>
      <c r="J91" s="37" t="inlineStr">
        <is>
          <t>5 min body scan</t>
        </is>
      </c>
      <c r="K91" s="37" t="inlineStr">
        <is>
          <t>Hotel: goblet squat + DB lunge. No gym: Bulgarian split squat, step-ups, tempo squats.</t>
        </is>
      </c>
      <c r="L91" s="37" t="inlineStr">
        <is>
          <t>Accumulation. Squat 4x6 at RPE 7 (2-3 RIR), accessories 3x8-10. Keep the run genuinely easy to aid leg recovery.</t>
        </is>
      </c>
      <c r="M91" s="45" t="n"/>
      <c r="N91" s="45" t="n"/>
      <c r="O91" s="46" t="n"/>
    </row>
    <row r="92" ht="50" customHeight="1">
      <c r="A92" s="28" t="n">
        <v>88</v>
      </c>
      <c r="B92" s="28" t="n">
        <v>13</v>
      </c>
      <c r="C92" s="43" t="n">
        <v>46282</v>
      </c>
      <c r="D92" s="28" t="inlineStr">
        <is>
          <t>Thursday</t>
        </is>
      </c>
      <c r="E92" s="44" t="inlineStr">
        <is>
          <t>Shoulders</t>
        </is>
      </c>
      <c r="F92" s="37" t="inlineStr">
        <is>
          <t>Overhead press 4x6. DB lateral raise, Rear-delt fly, Upright row, Shrug 3x8-10.</t>
        </is>
      </c>
      <c r="G92" s="37" t="inlineStr">
        <is>
          <t>Threshold Cycle 2x10min @ 223-258W</t>
        </is>
      </c>
      <c r="H92" s="28" t="inlineStr">
        <is>
          <t>Hard</t>
        </is>
      </c>
      <c r="I92" s="37" t="inlineStr">
        <is>
          <t>Shoulder CARs + band dislocates, 10 min</t>
        </is>
      </c>
      <c r="J92" s="37" t="inlineStr">
        <is>
          <t>5 min focus meditation</t>
        </is>
      </c>
      <c r="K92" s="37" t="inlineStr">
        <is>
          <t>Hotel: DB press + raises. No gym: pike push-ups, band laterals, backpack press.</t>
        </is>
      </c>
      <c r="L92" s="37" t="inlineStr">
        <is>
          <t>Accumulation. OHP 4x6 at RPE 7 (2-3 RIR); strict laterals. Threshold should feel 'comfortably hard', short phrases only.</t>
        </is>
      </c>
      <c r="M92" s="45" t="n"/>
      <c r="N92" s="45" t="n"/>
      <c r="O92" s="46" t="n"/>
    </row>
    <row r="93" ht="50" customHeight="1">
      <c r="A93" s="28" t="n">
        <v>89</v>
      </c>
      <c r="B93" s="28" t="n">
        <v>13</v>
      </c>
      <c r="C93" s="43" t="n">
        <v>46283</v>
      </c>
      <c r="D93" s="28" t="inlineStr">
        <is>
          <t>Friday</t>
        </is>
      </c>
      <c r="E93" s="44" t="inlineStr">
        <is>
          <t>Chest + Back Density</t>
        </is>
      </c>
      <c r="F93" s="37" t="inlineStr">
        <is>
          <t>Bench / row superset 4x6. Incline press, Chest-supported row, Cable fly, Lat pulldown 3x8-10.</t>
        </is>
      </c>
      <c r="G93" s="37" t="inlineStr">
        <is>
          <t>Hybrid 3 rounds: 40m carry + 12 burpees + 20 lunges</t>
        </is>
      </c>
      <c r="H93" s="28" t="inlineStr">
        <is>
          <t>Moderate</t>
        </is>
      </c>
      <c r="I93" s="37" t="inlineStr">
        <is>
          <t>Full upper-body flush, 10 min</t>
        </is>
      </c>
      <c r="J93" s="37" t="inlineStr">
        <is>
          <t>5 min intention setting</t>
        </is>
      </c>
      <c r="K93" s="37" t="inlineStr">
        <is>
          <t>Hotel: DB density supersets. No gym: push-up/row ladders + loaded carries with bags.</t>
        </is>
      </c>
      <c r="L93" s="37" t="inlineStr">
        <is>
          <t>Accumulation. Minimise rest, chase the pump at RPE 7 (2-3 RIR). Hybrid finisher: carries, burpees, lunges — no rower.</t>
        </is>
      </c>
      <c r="M93" s="45" t="n"/>
      <c r="N93" s="45" t="n"/>
      <c r="O93" s="46" t="n"/>
    </row>
    <row r="94" ht="50" customHeight="1">
      <c r="A94" s="28" t="n">
        <v>90</v>
      </c>
      <c r="B94" s="28" t="n">
        <v>13</v>
      </c>
      <c r="C94" s="43" t="n">
        <v>46284</v>
      </c>
      <c r="D94" s="28" t="inlineStr">
        <is>
          <t>Saturday</t>
        </is>
      </c>
      <c r="E94" s="44" t="inlineStr">
        <is>
          <t>Legs + Posterior Chain</t>
        </is>
      </c>
      <c r="F94" s="37" t="inlineStr">
        <is>
          <t>Deadlift / RDL 4x6. Front squat, Hip thrust, Nordic curl, Back extension 3x8-10.</t>
        </is>
      </c>
      <c r="G94" s="37" t="inlineStr">
        <is>
          <t>Long Ride 2h15 Zone 2 @ 137-184W</t>
        </is>
      </c>
      <c r="H94" s="28" t="inlineStr">
        <is>
          <t>Long</t>
        </is>
      </c>
      <c r="I94" s="37" t="inlineStr">
        <is>
          <t>Hamstring + glute release, 12 min</t>
        </is>
      </c>
      <c r="J94" s="37" t="inlineStr">
        <is>
          <t>10 min outdoor mindfulness</t>
        </is>
      </c>
      <c r="K94" s="37" t="inlineStr">
        <is>
          <t>Hotel: DB RDL + hip thrust. No gym: single-leg RDL, hip bridges, long Zone 2 ride/run.</t>
        </is>
      </c>
      <c r="L94" s="37" t="inlineStr">
        <is>
          <t>Accumulation. Heavy posterior chain 4x6 at RPE 7 (2-3 RIR). Fuel the long ride hourly to protect fat loss &amp; recovery.</t>
        </is>
      </c>
      <c r="M94" s="45" t="n"/>
      <c r="N94" s="45" t="n"/>
      <c r="O94" s="46" t="n"/>
    </row>
    <row r="95" ht="50" customHeight="1">
      <c r="A95" s="28" t="n">
        <v>91</v>
      </c>
      <c r="B95" s="28" t="n">
        <v>13</v>
      </c>
      <c r="C95" s="43" t="n">
        <v>46285</v>
      </c>
      <c r="D95" s="28" t="inlineStr">
        <is>
          <t>Sunday</t>
        </is>
      </c>
      <c r="E95" s="44" t="inlineStr">
        <is>
          <t>Arms + Core</t>
        </is>
      </c>
      <c r="F95" s="37" t="inlineStr">
        <is>
          <t>Barbell curl 4x6. Hammer curl, Skullcrusher, Rope pushdown, Hanging leg raise, Plank, Pallof press 3x8-10.</t>
        </is>
      </c>
      <c r="G95" s="37" t="inlineStr">
        <is>
          <t>Long Run 1h06 easy (Zone 2)</t>
        </is>
      </c>
      <c r="H95" s="28" t="inlineStr">
        <is>
          <t>Long</t>
        </is>
      </c>
      <c r="I95" s="37" t="inlineStr">
        <is>
          <t>Spine + hip flow, 12 min</t>
        </is>
      </c>
      <c r="J95" s="37" t="inlineStr">
        <is>
          <t>10 min reflection / week review</t>
        </is>
      </c>
      <c r="K95" s="37" t="inlineStr">
        <is>
          <t>Hotel: DB arms + core circuit. No gym: band curls, dips, planks, long easy run.</t>
        </is>
      </c>
      <c r="L95" s="37" t="inlineStr">
        <is>
          <t>Accumulation. Arms &amp; core at RPE 7 (2-3 RIR). Long run is 80% easy volume — keep it conversational. Log the week's wins.</t>
        </is>
      </c>
      <c r="M95" s="45" t="n"/>
      <c r="N95" s="45" t="n"/>
      <c r="O95" s="46" t="n"/>
    </row>
    <row r="96" ht="50" customHeight="1">
      <c r="A96" s="47" t="n">
        <v>92</v>
      </c>
      <c r="B96" s="47" t="n">
        <v>14</v>
      </c>
      <c r="C96" s="48" t="n">
        <v>46286</v>
      </c>
      <c r="D96" s="47" t="inlineStr">
        <is>
          <t>Monday</t>
        </is>
      </c>
      <c r="E96" s="49" t="inlineStr">
        <is>
          <t>Chest + Biceps</t>
        </is>
      </c>
      <c r="F96" s="50" t="inlineStr">
        <is>
          <t>Barbell bench press 5x5. Incline DB press, Weighted dip, Cable fly, EZ-bar curl, Incline DB curl, Cable curl 4x10-12.</t>
        </is>
      </c>
      <c r="G96" s="50" t="inlineStr">
        <is>
          <t>Zone 2 Cycle 55 min @ 139-186W</t>
        </is>
      </c>
      <c r="H96" s="47" t="inlineStr">
        <is>
          <t>Easy</t>
        </is>
      </c>
      <c r="I96" s="50" t="inlineStr">
        <is>
          <t>Thoracic opener + pec stretch, 10 min</t>
        </is>
      </c>
      <c r="J96" s="50" t="inlineStr">
        <is>
          <t>5 min box breathing</t>
        </is>
      </c>
      <c r="K96" s="50" t="inlineStr">
        <is>
          <t>Hotel: DB press + DB curls. No gym: deep push-ups, band curls, slow tempo.</t>
        </is>
      </c>
      <c r="L96" s="50" t="inlineStr">
        <is>
          <t>Progression week. Bench 5x5 at RPE 7-8 (2 RIR); accessories 4x10-12. Cycle is true Zone 2 recovery — nose-breathing only.</t>
        </is>
      </c>
      <c r="M96" s="45" t="n"/>
      <c r="N96" s="45" t="n"/>
      <c r="O96" s="46" t="n"/>
    </row>
    <row r="97" ht="50" customHeight="1">
      <c r="A97" s="47" t="n">
        <v>93</v>
      </c>
      <c r="B97" s="47" t="n">
        <v>14</v>
      </c>
      <c r="C97" s="48" t="n">
        <v>46287</v>
      </c>
      <c r="D97" s="47" t="inlineStr">
        <is>
          <t>Tuesday</t>
        </is>
      </c>
      <c r="E97" s="49" t="inlineStr">
        <is>
          <t>Back + Triceps</t>
        </is>
      </c>
      <c r="F97" s="50" t="inlineStr">
        <is>
          <t>Weighted pull-up 5x5. Barbell row, Lat pulldown, Face pull, Close-grip bench, Rope pushdown, Overhead extension 4x10-12.</t>
        </is>
      </c>
      <c r="G97" s="50" t="inlineStr">
        <is>
          <t>VO2 Bike 6x3min @ 263-298W / 3min easy</t>
        </is>
      </c>
      <c r="H97" s="47" t="inlineStr">
        <is>
          <t>Hard</t>
        </is>
      </c>
      <c r="I97" s="50" t="inlineStr">
        <is>
          <t>Lat + lower-back decompression, 10 min</t>
        </is>
      </c>
      <c r="J97" s="50" t="inlineStr">
        <is>
          <t>5 min gratitude journaling</t>
        </is>
      </c>
      <c r="K97" s="50" t="inlineStr">
        <is>
          <t>Hotel: DB row + bench dips. No gym: doorway rows, band pulldown, diamond push-ups.</t>
        </is>
      </c>
      <c r="L97" s="50" t="inlineStr">
        <is>
          <t>Progression. Pulls 5x5 at RPE 7-8 (2 RIR). Fully recover between VO2 reps so you hit the watts every interval.</t>
        </is>
      </c>
      <c r="M97" s="45" t="n"/>
      <c r="N97" s="45" t="n"/>
      <c r="O97" s="46" t="n"/>
    </row>
    <row r="98" ht="50" customHeight="1">
      <c r="A98" s="47" t="n">
        <v>94</v>
      </c>
      <c r="B98" s="47" t="n">
        <v>14</v>
      </c>
      <c r="C98" s="48" t="n">
        <v>46288</v>
      </c>
      <c r="D98" s="47" t="inlineStr">
        <is>
          <t>Wednesday</t>
        </is>
      </c>
      <c r="E98" s="49" t="inlineStr">
        <is>
          <t>Legs Volume</t>
        </is>
      </c>
      <c r="F98" s="50" t="inlineStr">
        <is>
          <t>Back squat 5x5. Leg press, Walking lunge, Leg curl, Calf raise 4x10-12.</t>
        </is>
      </c>
      <c r="G98" s="50" t="inlineStr">
        <is>
          <t>Easy Run 45 min conversational (Zone 2)</t>
        </is>
      </c>
      <c r="H98" s="47" t="inlineStr">
        <is>
          <t>Easy</t>
        </is>
      </c>
      <c r="I98" s="50" t="inlineStr">
        <is>
          <t>Hip flexor + ankle mobility, 10 min</t>
        </is>
      </c>
      <c r="J98" s="50" t="inlineStr">
        <is>
          <t>5 min body scan</t>
        </is>
      </c>
      <c r="K98" s="50" t="inlineStr">
        <is>
          <t>Hotel: goblet squat + DB lunge. No gym: Bulgarian split squat, step-ups, tempo squats.</t>
        </is>
      </c>
      <c r="L98" s="50" t="inlineStr">
        <is>
          <t>Progression. Squat 5x5 at RPE 7-8 (2 RIR), accessories 4x10-12. Keep the run genuinely easy to aid leg recovery.</t>
        </is>
      </c>
      <c r="M98" s="45" t="n"/>
      <c r="N98" s="45" t="n"/>
      <c r="O98" s="46" t="n"/>
    </row>
    <row r="99" ht="50" customHeight="1">
      <c r="A99" s="47" t="n">
        <v>95</v>
      </c>
      <c r="B99" s="47" t="n">
        <v>14</v>
      </c>
      <c r="C99" s="48" t="n">
        <v>46289</v>
      </c>
      <c r="D99" s="47" t="inlineStr">
        <is>
          <t>Thursday</t>
        </is>
      </c>
      <c r="E99" s="49" t="inlineStr">
        <is>
          <t>Shoulders</t>
        </is>
      </c>
      <c r="F99" s="50" t="inlineStr">
        <is>
          <t>Overhead press 5x5. DB lateral raise, Rear-delt fly, Upright row, Shrug 4x10-12.</t>
        </is>
      </c>
      <c r="G99" s="50" t="inlineStr">
        <is>
          <t>Threshold Cycle 2x12min @ 226-261W</t>
        </is>
      </c>
      <c r="H99" s="47" t="inlineStr">
        <is>
          <t>Hard</t>
        </is>
      </c>
      <c r="I99" s="50" t="inlineStr">
        <is>
          <t>Shoulder CARs + band dislocates, 10 min</t>
        </is>
      </c>
      <c r="J99" s="50" t="inlineStr">
        <is>
          <t>5 min focus meditation</t>
        </is>
      </c>
      <c r="K99" s="50" t="inlineStr">
        <is>
          <t>Hotel: DB press + raises. No gym: pike push-ups, band laterals, backpack press.</t>
        </is>
      </c>
      <c r="L99" s="50" t="inlineStr">
        <is>
          <t>Progression. OHP 5x5 at RPE 7-8 (2 RIR); strict laterals. Threshold should feel 'comfortably hard', short phrases only.</t>
        </is>
      </c>
      <c r="M99" s="45" t="n"/>
      <c r="N99" s="45" t="n"/>
      <c r="O99" s="46" t="n"/>
    </row>
    <row r="100" ht="50" customHeight="1">
      <c r="A100" s="47" t="n">
        <v>96</v>
      </c>
      <c r="B100" s="47" t="n">
        <v>14</v>
      </c>
      <c r="C100" s="48" t="n">
        <v>46290</v>
      </c>
      <c r="D100" s="47" t="inlineStr">
        <is>
          <t>Friday</t>
        </is>
      </c>
      <c r="E100" s="49" t="inlineStr">
        <is>
          <t>Chest + Back Density</t>
        </is>
      </c>
      <c r="F100" s="50" t="inlineStr">
        <is>
          <t>Bench / row superset 5x5. Incline press, Chest-supported row, Cable fly, Lat pulldown 4x10-12.</t>
        </is>
      </c>
      <c r="G100" s="50" t="inlineStr">
        <is>
          <t>Hybrid 4 rounds: 40m carry + 12 burpees + 20 lunges</t>
        </is>
      </c>
      <c r="H100" s="47" t="inlineStr">
        <is>
          <t>Moderate</t>
        </is>
      </c>
      <c r="I100" s="50" t="inlineStr">
        <is>
          <t>Full upper-body flush, 10 min</t>
        </is>
      </c>
      <c r="J100" s="50" t="inlineStr">
        <is>
          <t>5 min intention setting</t>
        </is>
      </c>
      <c r="K100" s="50" t="inlineStr">
        <is>
          <t>Hotel: DB density supersets. No gym: push-up/row ladders + loaded carries with bags.</t>
        </is>
      </c>
      <c r="L100" s="50" t="inlineStr">
        <is>
          <t>Progression. Minimise rest, chase the pump at RPE 7-8 (2 RIR). Hybrid finisher: carries, burpees, lunges — no rower.</t>
        </is>
      </c>
      <c r="M100" s="45" t="n"/>
      <c r="N100" s="45" t="n"/>
      <c r="O100" s="46" t="n"/>
    </row>
    <row r="101" ht="50" customHeight="1">
      <c r="A101" s="47" t="n">
        <v>97</v>
      </c>
      <c r="B101" s="47" t="n">
        <v>14</v>
      </c>
      <c r="C101" s="48" t="n">
        <v>46291</v>
      </c>
      <c r="D101" s="47" t="inlineStr">
        <is>
          <t>Saturday</t>
        </is>
      </c>
      <c r="E101" s="49" t="inlineStr">
        <is>
          <t>Legs + Posterior Chain</t>
        </is>
      </c>
      <c r="F101" s="50" t="inlineStr">
        <is>
          <t>Deadlift / RDL 5x5. Front squat, Hip thrust, Nordic curl, Back extension 4x10-12.</t>
        </is>
      </c>
      <c r="G101" s="50" t="inlineStr">
        <is>
          <t>Long Ride 2h15 Zone 2 @ 139-186W</t>
        </is>
      </c>
      <c r="H101" s="47" t="inlineStr">
        <is>
          <t>Long</t>
        </is>
      </c>
      <c r="I101" s="50" t="inlineStr">
        <is>
          <t>Hamstring + glute release, 12 min</t>
        </is>
      </c>
      <c r="J101" s="50" t="inlineStr">
        <is>
          <t>10 min outdoor mindfulness</t>
        </is>
      </c>
      <c r="K101" s="50" t="inlineStr">
        <is>
          <t>Hotel: DB RDL + hip thrust. No gym: single-leg RDL, hip bridges, long Zone 2 ride/run.</t>
        </is>
      </c>
      <c r="L101" s="50" t="inlineStr">
        <is>
          <t>Progression. Heavy posterior chain 5x5 at RPE 7-8 (2 RIR). Fuel the long ride hourly to protect fat loss &amp; recovery.</t>
        </is>
      </c>
      <c r="M101" s="45" t="n"/>
      <c r="N101" s="45" t="n"/>
      <c r="O101" s="46" t="n"/>
    </row>
    <row r="102" ht="50" customHeight="1">
      <c r="A102" s="47" t="n">
        <v>98</v>
      </c>
      <c r="B102" s="47" t="n">
        <v>14</v>
      </c>
      <c r="C102" s="48" t="n">
        <v>46292</v>
      </c>
      <c r="D102" s="47" t="inlineStr">
        <is>
          <t>Sunday</t>
        </is>
      </c>
      <c r="E102" s="49" t="inlineStr">
        <is>
          <t>Arms + Core</t>
        </is>
      </c>
      <c r="F102" s="50" t="inlineStr">
        <is>
          <t>Barbell curl 5x5. Hammer curl, Skullcrusher, Rope pushdown, Hanging leg raise, Plank, Pallof press 4x10-12.</t>
        </is>
      </c>
      <c r="G102" s="50" t="inlineStr">
        <is>
          <t>Long Run 1h06 easy (Zone 2)</t>
        </is>
      </c>
      <c r="H102" s="47" t="inlineStr">
        <is>
          <t>Long</t>
        </is>
      </c>
      <c r="I102" s="50" t="inlineStr">
        <is>
          <t>Spine + hip flow, 12 min</t>
        </is>
      </c>
      <c r="J102" s="50" t="inlineStr">
        <is>
          <t>10 min reflection / week review</t>
        </is>
      </c>
      <c r="K102" s="50" t="inlineStr">
        <is>
          <t>Hotel: DB arms + core circuit. No gym: band curls, dips, planks, long easy run.</t>
        </is>
      </c>
      <c r="L102" s="50" t="inlineStr">
        <is>
          <t>Progression. Arms &amp; core at RPE 7-8 (2 RIR). Long run is 80% easy volume — keep it conversational. Log the week's wins.</t>
        </is>
      </c>
      <c r="M102" s="45" t="n"/>
      <c r="N102" s="45" t="n"/>
      <c r="O102" s="46" t="n"/>
    </row>
    <row r="103" ht="50" customHeight="1">
      <c r="A103" s="28" t="n">
        <v>99</v>
      </c>
      <c r="B103" s="28" t="n">
        <v>15</v>
      </c>
      <c r="C103" s="43" t="n">
        <v>46293</v>
      </c>
      <c r="D103" s="28" t="inlineStr">
        <is>
          <t>Monday</t>
        </is>
      </c>
      <c r="E103" s="44" t="inlineStr">
        <is>
          <t>Chest + Biceps</t>
        </is>
      </c>
      <c r="F103" s="37" t="inlineStr">
        <is>
          <t>Barbell bench press 5x5 (RPE8). Incline DB press, Weighted dip, Cable fly, EZ-bar curl, Incline DB curl, Cable curl 4x12-15.</t>
        </is>
      </c>
      <c r="G103" s="37" t="inlineStr">
        <is>
          <t>Zone 2 Cycle 1h05 @ 141-189W</t>
        </is>
      </c>
      <c r="H103" s="28" t="inlineStr">
        <is>
          <t>Easy</t>
        </is>
      </c>
      <c r="I103" s="37" t="inlineStr">
        <is>
          <t>Thoracic opener + pec stretch, 10 min</t>
        </is>
      </c>
      <c r="J103" s="37" t="inlineStr">
        <is>
          <t>5 min box breathing</t>
        </is>
      </c>
      <c r="K103" s="37" t="inlineStr">
        <is>
          <t>Hotel: DB press + DB curls. No gym: deep push-ups, band curls, slow tempo.</t>
        </is>
      </c>
      <c r="L103" s="37" t="inlineStr">
        <is>
          <t>Peak Volume week. Bench 5x5 (RPE8) at RPE 8 (1-2 RIR); accessories 4x12-15. Cycle is true Zone 2 recovery — nose-breathing only.</t>
        </is>
      </c>
      <c r="M103" s="45" t="n"/>
      <c r="N103" s="45" t="n"/>
      <c r="O103" s="46" t="n"/>
    </row>
    <row r="104" ht="50" customHeight="1">
      <c r="A104" s="28" t="n">
        <v>100</v>
      </c>
      <c r="B104" s="28" t="n">
        <v>15</v>
      </c>
      <c r="C104" s="43" t="n">
        <v>46294</v>
      </c>
      <c r="D104" s="28" t="inlineStr">
        <is>
          <t>Tuesday</t>
        </is>
      </c>
      <c r="E104" s="44" t="inlineStr">
        <is>
          <t>Back + Triceps</t>
        </is>
      </c>
      <c r="F104" s="37" t="inlineStr">
        <is>
          <t>Weighted pull-up 5x5 (RPE8). Barbell row, Lat pulldown, Face pull, Close-grip bench, Rope pushdown, Overhead extension 4x12-15.</t>
        </is>
      </c>
      <c r="G104" s="37" t="inlineStr">
        <is>
          <t>VO2 Bike 6x3min @ 267-302W / 3min easy</t>
        </is>
      </c>
      <c r="H104" s="28" t="inlineStr">
        <is>
          <t>Hard</t>
        </is>
      </c>
      <c r="I104" s="37" t="inlineStr">
        <is>
          <t>Lat + lower-back decompression, 10 min</t>
        </is>
      </c>
      <c r="J104" s="37" t="inlineStr">
        <is>
          <t>5 min gratitude journaling</t>
        </is>
      </c>
      <c r="K104" s="37" t="inlineStr">
        <is>
          <t>Hotel: DB row + bench dips. No gym: doorway rows, band pulldown, diamond push-ups.</t>
        </is>
      </c>
      <c r="L104" s="37" t="inlineStr">
        <is>
          <t>Peak Volume. Pulls 5x5 (RPE8) at RPE 8 (1-2 RIR). Fully recover between VO2 reps so you hit the watts every interval.</t>
        </is>
      </c>
      <c r="M104" s="45" t="n"/>
      <c r="N104" s="45" t="n"/>
      <c r="O104" s="46" t="n"/>
    </row>
    <row r="105" ht="50" customHeight="1">
      <c r="A105" s="28" t="n">
        <v>101</v>
      </c>
      <c r="B105" s="28" t="n">
        <v>15</v>
      </c>
      <c r="C105" s="43" t="n">
        <v>46295</v>
      </c>
      <c r="D105" s="28" t="inlineStr">
        <is>
          <t>Wednesday</t>
        </is>
      </c>
      <c r="E105" s="44" t="inlineStr">
        <is>
          <t>Legs Volume</t>
        </is>
      </c>
      <c r="F105" s="37" t="inlineStr">
        <is>
          <t>Back squat 5x5 (RPE8). Leg press, Walking lunge, Leg curl, Calf raise 4x12-15.</t>
        </is>
      </c>
      <c r="G105" s="37" t="inlineStr">
        <is>
          <t>Easy Run 50 min conversational (Zone 2)</t>
        </is>
      </c>
      <c r="H105" s="28" t="inlineStr">
        <is>
          <t>Easy</t>
        </is>
      </c>
      <c r="I105" s="37" t="inlineStr">
        <is>
          <t>Hip flexor + ankle mobility, 10 min</t>
        </is>
      </c>
      <c r="J105" s="37" t="inlineStr">
        <is>
          <t>5 min body scan</t>
        </is>
      </c>
      <c r="K105" s="37" t="inlineStr">
        <is>
          <t>Hotel: goblet squat + DB lunge. No gym: Bulgarian split squat, step-ups, tempo squats.</t>
        </is>
      </c>
      <c r="L105" s="37" t="inlineStr">
        <is>
          <t>Peak Volume. Squat 5x5 (RPE8) at RPE 8 (1-2 RIR), accessories 4x12-15. Keep the run genuinely easy to aid leg recovery.</t>
        </is>
      </c>
      <c r="M105" s="45" t="n"/>
      <c r="N105" s="45" t="n"/>
      <c r="O105" s="46" t="n"/>
    </row>
    <row r="106" ht="50" customHeight="1">
      <c r="A106" s="28" t="n">
        <v>102</v>
      </c>
      <c r="B106" s="28" t="n">
        <v>15</v>
      </c>
      <c r="C106" s="43" t="n">
        <v>46296</v>
      </c>
      <c r="D106" s="28" t="inlineStr">
        <is>
          <t>Thursday</t>
        </is>
      </c>
      <c r="E106" s="44" t="inlineStr">
        <is>
          <t>Shoulders</t>
        </is>
      </c>
      <c r="F106" s="37" t="inlineStr">
        <is>
          <t>Overhead press 5x5 (RPE8). DB lateral raise, Rear-delt fly, Upright row, Shrug 4x12-15.</t>
        </is>
      </c>
      <c r="G106" s="37" t="inlineStr">
        <is>
          <t>Threshold Cycle 3x12min @ 229-264W</t>
        </is>
      </c>
      <c r="H106" s="28" t="inlineStr">
        <is>
          <t>Hard</t>
        </is>
      </c>
      <c r="I106" s="37" t="inlineStr">
        <is>
          <t>Shoulder CARs + band dislocates, 10 min</t>
        </is>
      </c>
      <c r="J106" s="37" t="inlineStr">
        <is>
          <t>5 min focus meditation</t>
        </is>
      </c>
      <c r="K106" s="37" t="inlineStr">
        <is>
          <t>Hotel: DB press + raises. No gym: pike push-ups, band laterals, backpack press.</t>
        </is>
      </c>
      <c r="L106" s="37" t="inlineStr">
        <is>
          <t>Peak Volume. OHP 5x5 (RPE8) at RPE 8 (1-2 RIR); strict laterals. Threshold should feel 'comfortably hard', short phrases only.</t>
        </is>
      </c>
      <c r="M106" s="45" t="n"/>
      <c r="N106" s="45" t="n"/>
      <c r="O106" s="46" t="n"/>
    </row>
    <row r="107" ht="50" customHeight="1">
      <c r="A107" s="28" t="n">
        <v>103</v>
      </c>
      <c r="B107" s="28" t="n">
        <v>15</v>
      </c>
      <c r="C107" s="43" t="n">
        <v>46297</v>
      </c>
      <c r="D107" s="28" t="inlineStr">
        <is>
          <t>Friday</t>
        </is>
      </c>
      <c r="E107" s="44" t="inlineStr">
        <is>
          <t>Chest + Back Density</t>
        </is>
      </c>
      <c r="F107" s="37" t="inlineStr">
        <is>
          <t>Bench / row superset 5x5 (RPE8). Incline press, Chest-supported row, Cable fly, Lat pulldown 4x12-15.</t>
        </is>
      </c>
      <c r="G107" s="37" t="inlineStr">
        <is>
          <t>Hybrid 5 rounds: 40m carry + 12 burpees + 20 lunges</t>
        </is>
      </c>
      <c r="H107" s="28" t="inlineStr">
        <is>
          <t>Moderate</t>
        </is>
      </c>
      <c r="I107" s="37" t="inlineStr">
        <is>
          <t>Full upper-body flush, 10 min</t>
        </is>
      </c>
      <c r="J107" s="37" t="inlineStr">
        <is>
          <t>5 min intention setting</t>
        </is>
      </c>
      <c r="K107" s="37" t="inlineStr">
        <is>
          <t>Hotel: DB density supersets. No gym: push-up/row ladders + loaded carries with bags.</t>
        </is>
      </c>
      <c r="L107" s="37" t="inlineStr">
        <is>
          <t>Peak Volume. Minimise rest, chase the pump at RPE 8 (1-2 RIR). Hybrid finisher: carries, burpees, lunges — no rower.</t>
        </is>
      </c>
      <c r="M107" s="45" t="n"/>
      <c r="N107" s="45" t="n"/>
      <c r="O107" s="46" t="n"/>
    </row>
    <row r="108" ht="50" customHeight="1">
      <c r="A108" s="28" t="n">
        <v>104</v>
      </c>
      <c r="B108" s="28" t="n">
        <v>15</v>
      </c>
      <c r="C108" s="43" t="n">
        <v>46298</v>
      </c>
      <c r="D108" s="28" t="inlineStr">
        <is>
          <t>Saturday</t>
        </is>
      </c>
      <c r="E108" s="44" t="inlineStr">
        <is>
          <t>Legs + Posterior Chain</t>
        </is>
      </c>
      <c r="F108" s="37" t="inlineStr">
        <is>
          <t>Deadlift / RDL 5x5 (RPE8). Front squat, Hip thrust, Nordic curl, Back extension 4x12-15.</t>
        </is>
      </c>
      <c r="G108" s="37" t="inlineStr">
        <is>
          <t>Long Ride 2h30 Zone 2 @ 141-189W</t>
        </is>
      </c>
      <c r="H108" s="28" t="inlineStr">
        <is>
          <t>Long</t>
        </is>
      </c>
      <c r="I108" s="37" t="inlineStr">
        <is>
          <t>Hamstring + glute release, 12 min</t>
        </is>
      </c>
      <c r="J108" s="37" t="inlineStr">
        <is>
          <t>10 min outdoor mindfulness</t>
        </is>
      </c>
      <c r="K108" s="37" t="inlineStr">
        <is>
          <t>Hotel: DB RDL + hip thrust. No gym: single-leg RDL, hip bridges, long Zone 2 ride/run.</t>
        </is>
      </c>
      <c r="L108" s="37" t="inlineStr">
        <is>
          <t>Peak Volume. Heavy posterior chain 5x5 (RPE8) at RPE 8 (1-2 RIR). Fuel the long ride hourly to protect fat loss &amp; recovery.</t>
        </is>
      </c>
      <c r="M108" s="45" t="n"/>
      <c r="N108" s="45" t="n"/>
      <c r="O108" s="46" t="n"/>
    </row>
    <row r="109" ht="50" customHeight="1">
      <c r="A109" s="28" t="n">
        <v>105</v>
      </c>
      <c r="B109" s="28" t="n">
        <v>15</v>
      </c>
      <c r="C109" s="43" t="n">
        <v>46299</v>
      </c>
      <c r="D109" s="28" t="inlineStr">
        <is>
          <t>Sunday</t>
        </is>
      </c>
      <c r="E109" s="44" t="inlineStr">
        <is>
          <t>Arms + Core</t>
        </is>
      </c>
      <c r="F109" s="37" t="inlineStr">
        <is>
          <t>Barbell curl 5x5 (RPE8). Hammer curl, Skullcrusher, Rope pushdown, Hanging leg raise, Plank, Pallof press 4x12-15.</t>
        </is>
      </c>
      <c r="G109" s="37" t="inlineStr">
        <is>
          <t>Long Run 1h14 easy (Zone 2)</t>
        </is>
      </c>
      <c r="H109" s="28" t="inlineStr">
        <is>
          <t>Long</t>
        </is>
      </c>
      <c r="I109" s="37" t="inlineStr">
        <is>
          <t>Spine + hip flow, 12 min</t>
        </is>
      </c>
      <c r="J109" s="37" t="inlineStr">
        <is>
          <t>10 min reflection / week review</t>
        </is>
      </c>
      <c r="K109" s="37" t="inlineStr">
        <is>
          <t>Hotel: DB arms + core circuit. No gym: band curls, dips, planks, long easy run.</t>
        </is>
      </c>
      <c r="L109" s="37" t="inlineStr">
        <is>
          <t>Peak Volume. Arms &amp; core at RPE 8 (1-2 RIR). Long run is 80% easy volume — keep it conversational. Log the week's wins.</t>
        </is>
      </c>
      <c r="M109" s="45" t="n"/>
      <c r="N109" s="45" t="n"/>
      <c r="O109" s="46" t="n"/>
    </row>
    <row r="110" ht="50" customHeight="1">
      <c r="A110" s="47" t="n">
        <v>106</v>
      </c>
      <c r="B110" s="47" t="n">
        <v>16</v>
      </c>
      <c r="C110" s="48" t="n">
        <v>46300</v>
      </c>
      <c r="D110" s="47" t="inlineStr">
        <is>
          <t>Monday</t>
        </is>
      </c>
      <c r="E110" s="49" t="inlineStr">
        <is>
          <t>Chest + Biceps</t>
        </is>
      </c>
      <c r="F110" s="50" t="inlineStr">
        <is>
          <t>DELOAD — Barbell bench press 3x5 light. Incline DB press, Weighted dip, Cable fly, EZ-bar curl, Incline DB curl, Cable curl 2x8 (-40% vol).</t>
        </is>
      </c>
      <c r="G110" s="50" t="inlineStr">
        <is>
          <t>Zone 2 Cycle 30 min @ 140-188W</t>
        </is>
      </c>
      <c r="H110" s="47" t="inlineStr">
        <is>
          <t>Easy</t>
        </is>
      </c>
      <c r="I110" s="50" t="inlineStr">
        <is>
          <t>Thoracic opener + pec stretch, 10 min</t>
        </is>
      </c>
      <c r="J110" s="50" t="inlineStr">
        <is>
          <t>5 min box breathing</t>
        </is>
      </c>
      <c r="K110" s="50" t="inlineStr">
        <is>
          <t>Hotel: DB press + DB curls. No gym: deep push-ups, band curls, slow tempo.</t>
        </is>
      </c>
      <c r="L110" s="50" t="inlineStr">
        <is>
          <t>Deload week. Bench 3x5 light at RPE 5-6 (deload); accessories 2x8 (-40% vol). Cycle is true Zone 2 recovery — nose-breathing only.</t>
        </is>
      </c>
      <c r="M110" s="45" t="n"/>
      <c r="N110" s="45" t="n"/>
      <c r="O110" s="46" t="n"/>
    </row>
    <row r="111" ht="50" customHeight="1">
      <c r="A111" s="47" t="n">
        <v>107</v>
      </c>
      <c r="B111" s="47" t="n">
        <v>16</v>
      </c>
      <c r="C111" s="48" t="n">
        <v>46301</v>
      </c>
      <c r="D111" s="47" t="inlineStr">
        <is>
          <t>Tuesday</t>
        </is>
      </c>
      <c r="E111" s="49" t="inlineStr">
        <is>
          <t>Back + Triceps</t>
        </is>
      </c>
      <c r="F111" s="50" t="inlineStr">
        <is>
          <t>DELOAD — Weighted pull-up 3x5 light. Barbell row, Lat pulldown, Face pull, Close-grip bench, Rope pushdown, Overhead extension 2x8 (-40% vol).</t>
        </is>
      </c>
      <c r="G111" s="50" t="inlineStr">
        <is>
          <t>VO2 Bike 3x3min @ 266-301W / 3min easy</t>
        </is>
      </c>
      <c r="H111" s="47" t="inlineStr">
        <is>
          <t>Moderate</t>
        </is>
      </c>
      <c r="I111" s="50" t="inlineStr">
        <is>
          <t>Lat + lower-back decompression, 10 min</t>
        </is>
      </c>
      <c r="J111" s="50" t="inlineStr">
        <is>
          <t>5 min gratitude journaling</t>
        </is>
      </c>
      <c r="K111" s="50" t="inlineStr">
        <is>
          <t>Hotel: DB row + bench dips. No gym: doorway rows, band pulldown, diamond push-ups.</t>
        </is>
      </c>
      <c r="L111" s="50" t="inlineStr">
        <is>
          <t>Deload. Pulls 3x5 light at RPE 5-6 (deload). Fully recover between VO2 reps so you hit the watts every interval.</t>
        </is>
      </c>
      <c r="M111" s="45" t="n"/>
      <c r="N111" s="45" t="n"/>
      <c r="O111" s="46" t="n"/>
    </row>
    <row r="112" ht="50" customHeight="1">
      <c r="A112" s="47" t="n">
        <v>108</v>
      </c>
      <c r="B112" s="47" t="n">
        <v>16</v>
      </c>
      <c r="C112" s="48" t="n">
        <v>46302</v>
      </c>
      <c r="D112" s="47" t="inlineStr">
        <is>
          <t>Wednesday</t>
        </is>
      </c>
      <c r="E112" s="49" t="inlineStr">
        <is>
          <t>Legs Volume</t>
        </is>
      </c>
      <c r="F112" s="50" t="inlineStr">
        <is>
          <t>DELOAD — Back squat 3x5 light. Leg press, Walking lunge, Leg curl, Calf raise 2x8 (-40% vol).</t>
        </is>
      </c>
      <c r="G112" s="50" t="inlineStr">
        <is>
          <t>Easy Run 25 min conversational (Zone 2)</t>
        </is>
      </c>
      <c r="H112" s="47" t="inlineStr">
        <is>
          <t>Easy</t>
        </is>
      </c>
      <c r="I112" s="50" t="inlineStr">
        <is>
          <t>Hip flexor + ankle mobility, 10 min</t>
        </is>
      </c>
      <c r="J112" s="50" t="inlineStr">
        <is>
          <t>5 min body scan</t>
        </is>
      </c>
      <c r="K112" s="50" t="inlineStr">
        <is>
          <t>Hotel: goblet squat + DB lunge. No gym: Bulgarian split squat, step-ups, tempo squats.</t>
        </is>
      </c>
      <c r="L112" s="50" t="inlineStr">
        <is>
          <t>Deload. Squat 3x5 light at RPE 5-6 (deload), accessories 2x8 (-40% vol). Keep the run genuinely easy to aid leg recovery.</t>
        </is>
      </c>
      <c r="M112" s="45" t="n"/>
      <c r="N112" s="45" t="n"/>
      <c r="O112" s="46" t="n"/>
    </row>
    <row r="113" ht="50" customHeight="1">
      <c r="A113" s="47" t="n">
        <v>109</v>
      </c>
      <c r="B113" s="47" t="n">
        <v>16</v>
      </c>
      <c r="C113" s="48" t="n">
        <v>46303</v>
      </c>
      <c r="D113" s="47" t="inlineStr">
        <is>
          <t>Thursday</t>
        </is>
      </c>
      <c r="E113" s="49" t="inlineStr">
        <is>
          <t>Shoulders</t>
        </is>
      </c>
      <c r="F113" s="50" t="inlineStr">
        <is>
          <t>DELOAD — Overhead press 3x5 light. DB lateral raise, Rear-delt fly, Upright row, Shrug 2x8 (-40% vol).</t>
        </is>
      </c>
      <c r="G113" s="50" t="inlineStr">
        <is>
          <t>Threshold Cycle 2x8min @ 228-263W</t>
        </is>
      </c>
      <c r="H113" s="47" t="inlineStr">
        <is>
          <t>Moderate</t>
        </is>
      </c>
      <c r="I113" s="50" t="inlineStr">
        <is>
          <t>Shoulder CARs + band dislocates, 10 min</t>
        </is>
      </c>
      <c r="J113" s="50" t="inlineStr">
        <is>
          <t>5 min focus meditation</t>
        </is>
      </c>
      <c r="K113" s="50" t="inlineStr">
        <is>
          <t>Hotel: DB press + raises. No gym: pike push-ups, band laterals, backpack press.</t>
        </is>
      </c>
      <c r="L113" s="50" t="inlineStr">
        <is>
          <t>Deload. OHP 3x5 light at RPE 5-6 (deload); strict laterals. Threshold should feel 'comfortably hard', short phrases only.</t>
        </is>
      </c>
      <c r="M113" s="45" t="n"/>
      <c r="N113" s="45" t="n"/>
      <c r="O113" s="46" t="n"/>
    </row>
    <row r="114" ht="50" customHeight="1">
      <c r="A114" s="47" t="n">
        <v>110</v>
      </c>
      <c r="B114" s="47" t="n">
        <v>16</v>
      </c>
      <c r="C114" s="48" t="n">
        <v>46304</v>
      </c>
      <c r="D114" s="47" t="inlineStr">
        <is>
          <t>Friday</t>
        </is>
      </c>
      <c r="E114" s="49" t="inlineStr">
        <is>
          <t>Chest + Back Density</t>
        </is>
      </c>
      <c r="F114" s="50" t="inlineStr">
        <is>
          <t>DELOAD — Bench / row superset 3x5 light. Incline press, Chest-supported row, Cable fly, Lat pulldown 2x8 (-40% vol).</t>
        </is>
      </c>
      <c r="G114" s="50" t="inlineStr">
        <is>
          <t>Hybrid 3 rounds: 40m carry + 12 burpees + 20 lunges</t>
        </is>
      </c>
      <c r="H114" s="47" t="inlineStr">
        <is>
          <t>Moderate</t>
        </is>
      </c>
      <c r="I114" s="50" t="inlineStr">
        <is>
          <t>Full upper-body flush, 10 min</t>
        </is>
      </c>
      <c r="J114" s="50" t="inlineStr">
        <is>
          <t>5 min intention setting</t>
        </is>
      </c>
      <c r="K114" s="50" t="inlineStr">
        <is>
          <t>Hotel: DB density supersets. No gym: push-up/row ladders + loaded carries with bags.</t>
        </is>
      </c>
      <c r="L114" s="50" t="inlineStr">
        <is>
          <t>Deload. Minimise rest, chase the pump at RPE 5-6 (deload). Hybrid finisher: carries, burpees, lunges — no rower.</t>
        </is>
      </c>
      <c r="M114" s="45" t="n"/>
      <c r="N114" s="45" t="n"/>
      <c r="O114" s="46" t="n"/>
    </row>
    <row r="115" ht="50" customHeight="1">
      <c r="A115" s="47" t="n">
        <v>111</v>
      </c>
      <c r="B115" s="47" t="n">
        <v>16</v>
      </c>
      <c r="C115" s="48" t="n">
        <v>46305</v>
      </c>
      <c r="D115" s="47" t="inlineStr">
        <is>
          <t>Saturday</t>
        </is>
      </c>
      <c r="E115" s="49" t="inlineStr">
        <is>
          <t>Legs + Posterior Chain</t>
        </is>
      </c>
      <c r="F115" s="50" t="inlineStr">
        <is>
          <t>DELOAD — Deadlift / RDL 3x5 light. Front squat, Hip thrust, Nordic curl, Back extension 2x8 (-40% vol).</t>
        </is>
      </c>
      <c r="G115" s="50" t="inlineStr">
        <is>
          <t>Long Ride 1h15 Zone 2 @ 140-188W</t>
        </is>
      </c>
      <c r="H115" s="47" t="inlineStr">
        <is>
          <t>Long</t>
        </is>
      </c>
      <c r="I115" s="50" t="inlineStr">
        <is>
          <t>Hamstring + glute release, 12 min</t>
        </is>
      </c>
      <c r="J115" s="50" t="inlineStr">
        <is>
          <t>10 min outdoor mindfulness</t>
        </is>
      </c>
      <c r="K115" s="50" t="inlineStr">
        <is>
          <t>Hotel: DB RDL + hip thrust. No gym: single-leg RDL, hip bridges, long Zone 2 ride/run.</t>
        </is>
      </c>
      <c r="L115" s="50" t="inlineStr">
        <is>
          <t>Deload. Heavy posterior chain 3x5 light at RPE 5-6 (deload). Fuel the long ride hourly to protect fat loss &amp; recovery.</t>
        </is>
      </c>
      <c r="M115" s="45" t="n"/>
      <c r="N115" s="45" t="n"/>
      <c r="O115" s="46" t="n"/>
    </row>
    <row r="116" ht="50" customHeight="1">
      <c r="A116" s="47" t="n">
        <v>112</v>
      </c>
      <c r="B116" s="47" t="n">
        <v>16</v>
      </c>
      <c r="C116" s="48" t="n">
        <v>46306</v>
      </c>
      <c r="D116" s="47" t="inlineStr">
        <is>
          <t>Sunday</t>
        </is>
      </c>
      <c r="E116" s="49" t="inlineStr">
        <is>
          <t>Arms + Core</t>
        </is>
      </c>
      <c r="F116" s="50" t="inlineStr">
        <is>
          <t>DELOAD — Barbell curl 3x5 light. Hammer curl, Skullcrusher, Rope pushdown, Hanging leg raise, Plank, Pallof press 2x8 (-40% vol).</t>
        </is>
      </c>
      <c r="G116" s="50" t="inlineStr">
        <is>
          <t>Long Run 35 min easy (Zone 2)</t>
        </is>
      </c>
      <c r="H116" s="47" t="inlineStr">
        <is>
          <t>Long</t>
        </is>
      </c>
      <c r="I116" s="50" t="inlineStr">
        <is>
          <t>Spine + hip flow, 12 min</t>
        </is>
      </c>
      <c r="J116" s="50" t="inlineStr">
        <is>
          <t>10 min reflection / week review</t>
        </is>
      </c>
      <c r="K116" s="50" t="inlineStr">
        <is>
          <t>Hotel: DB arms + core circuit. No gym: band curls, dips, planks, long easy run.</t>
        </is>
      </c>
      <c r="L116" s="50" t="inlineStr">
        <is>
          <t>Deload. Arms &amp; core at RPE 5-6 (deload). Long run is 80% easy volume — keep it conversational. Log the week's wins.</t>
        </is>
      </c>
      <c r="M116" s="45" t="n"/>
      <c r="N116" s="45" t="n"/>
      <c r="O116" s="46" t="n"/>
    </row>
    <row r="117" ht="50" customHeight="1">
      <c r="A117" s="28" t="n">
        <v>113</v>
      </c>
      <c r="B117" s="28" t="n">
        <v>17</v>
      </c>
      <c r="C117" s="43" t="n">
        <v>46307</v>
      </c>
      <c r="D117" s="28" t="inlineStr">
        <is>
          <t>Monday</t>
        </is>
      </c>
      <c r="E117" s="44" t="inlineStr">
        <is>
          <t>Chest + Biceps</t>
        </is>
      </c>
      <c r="F117" s="37" t="inlineStr">
        <is>
          <t>Barbell bench press 4x6. Incline DB press, Weighted dip, Cable fly, EZ-bar curl, Incline DB curl, Cable curl 3x8-10.</t>
        </is>
      </c>
      <c r="G117" s="37" t="inlineStr">
        <is>
          <t>Zone 2 Cycle 1h00 @ 143-192W</t>
        </is>
      </c>
      <c r="H117" s="28" t="inlineStr">
        <is>
          <t>Easy</t>
        </is>
      </c>
      <c r="I117" s="37" t="inlineStr">
        <is>
          <t>Thoracic opener + pec stretch, 10 min</t>
        </is>
      </c>
      <c r="J117" s="37" t="inlineStr">
        <is>
          <t>5 min box breathing</t>
        </is>
      </c>
      <c r="K117" s="37" t="inlineStr">
        <is>
          <t>Hotel: DB press + DB curls. No gym: deep push-ups, band curls, slow tempo.</t>
        </is>
      </c>
      <c r="L117" s="37" t="inlineStr">
        <is>
          <t>Accumulation week. Bench 4x6 at RPE 7 (2-3 RIR); accessories 3x8-10. Cycle is true Zone 2 recovery — nose-breathing only.</t>
        </is>
      </c>
      <c r="M117" s="45" t="n"/>
      <c r="N117" s="45" t="n"/>
      <c r="O117" s="46" t="n"/>
    </row>
    <row r="118" ht="50" customHeight="1">
      <c r="A118" s="28" t="n">
        <v>114</v>
      </c>
      <c r="B118" s="28" t="n">
        <v>17</v>
      </c>
      <c r="C118" s="43" t="n">
        <v>46308</v>
      </c>
      <c r="D118" s="28" t="inlineStr">
        <is>
          <t>Tuesday</t>
        </is>
      </c>
      <c r="E118" s="44" t="inlineStr">
        <is>
          <t>Back + Triceps</t>
        </is>
      </c>
      <c r="F118" s="37" t="inlineStr">
        <is>
          <t>Weighted pull-up 4x6. Barbell row, Lat pulldown, Face pull, Close-grip bench, Rope pushdown, Overhead extension 3x8-10.</t>
        </is>
      </c>
      <c r="G118" s="37" t="inlineStr">
        <is>
          <t>VO2 Bike 6x3min @ 272-308W / 3min easy</t>
        </is>
      </c>
      <c r="H118" s="28" t="inlineStr">
        <is>
          <t>Hard</t>
        </is>
      </c>
      <c r="I118" s="37" t="inlineStr">
        <is>
          <t>Lat + lower-back decompression, 10 min</t>
        </is>
      </c>
      <c r="J118" s="37" t="inlineStr">
        <is>
          <t>5 min gratitude journaling</t>
        </is>
      </c>
      <c r="K118" s="37" t="inlineStr">
        <is>
          <t>Hotel: DB row + bench dips. No gym: doorway rows, band pulldown, diamond push-ups.</t>
        </is>
      </c>
      <c r="L118" s="37" t="inlineStr">
        <is>
          <t>Accumulation. Pulls 4x6 at RPE 7 (2-3 RIR). Fully recover between VO2 reps so you hit the watts every interval.</t>
        </is>
      </c>
      <c r="M118" s="45" t="n"/>
      <c r="N118" s="45" t="n"/>
      <c r="O118" s="46" t="n"/>
    </row>
    <row r="119" ht="50" customHeight="1">
      <c r="A119" s="28" t="n">
        <v>115</v>
      </c>
      <c r="B119" s="28" t="n">
        <v>17</v>
      </c>
      <c r="C119" s="43" t="n">
        <v>46309</v>
      </c>
      <c r="D119" s="28" t="inlineStr">
        <is>
          <t>Wednesday</t>
        </is>
      </c>
      <c r="E119" s="44" t="inlineStr">
        <is>
          <t>Legs Volume</t>
        </is>
      </c>
      <c r="F119" s="37" t="inlineStr">
        <is>
          <t>Back squat 4x6. Leg press, Walking lunge, Leg curl, Calf raise 3x8-10.</t>
        </is>
      </c>
      <c r="G119" s="37" t="inlineStr">
        <is>
          <t>Easy Run 50 min conversational (Zone 2)</t>
        </is>
      </c>
      <c r="H119" s="28" t="inlineStr">
        <is>
          <t>Easy</t>
        </is>
      </c>
      <c r="I119" s="37" t="inlineStr">
        <is>
          <t>Hip flexor + ankle mobility, 10 min</t>
        </is>
      </c>
      <c r="J119" s="37" t="inlineStr">
        <is>
          <t>5 min body scan</t>
        </is>
      </c>
      <c r="K119" s="37" t="inlineStr">
        <is>
          <t>Hotel: goblet squat + DB lunge. No gym: Bulgarian split squat, step-ups, tempo squats.</t>
        </is>
      </c>
      <c r="L119" s="37" t="inlineStr">
        <is>
          <t>Accumulation. Squat 4x6 at RPE 7 (2-3 RIR), accessories 3x8-10. Keep the run genuinely easy to aid leg recovery.</t>
        </is>
      </c>
      <c r="M119" s="45" t="n"/>
      <c r="N119" s="45" t="n"/>
      <c r="O119" s="46" t="n"/>
    </row>
    <row r="120" ht="50" customHeight="1">
      <c r="A120" s="28" t="n">
        <v>116</v>
      </c>
      <c r="B120" s="28" t="n">
        <v>17</v>
      </c>
      <c r="C120" s="43" t="n">
        <v>46310</v>
      </c>
      <c r="D120" s="28" t="inlineStr">
        <is>
          <t>Thursday</t>
        </is>
      </c>
      <c r="E120" s="44" t="inlineStr">
        <is>
          <t>Shoulders</t>
        </is>
      </c>
      <c r="F120" s="37" t="inlineStr">
        <is>
          <t>Overhead press 4x6. DB lateral raise, Rear-delt fly, Upright row, Shrug 3x8-10.</t>
        </is>
      </c>
      <c r="G120" s="37" t="inlineStr">
        <is>
          <t>Threshold Cycle 2x10min @ 233-269W</t>
        </is>
      </c>
      <c r="H120" s="28" t="inlineStr">
        <is>
          <t>Hard</t>
        </is>
      </c>
      <c r="I120" s="37" t="inlineStr">
        <is>
          <t>Shoulder CARs + band dislocates, 10 min</t>
        </is>
      </c>
      <c r="J120" s="37" t="inlineStr">
        <is>
          <t>5 min focus meditation</t>
        </is>
      </c>
      <c r="K120" s="37" t="inlineStr">
        <is>
          <t>Hotel: DB press + raises. No gym: pike push-ups, band laterals, backpack press.</t>
        </is>
      </c>
      <c r="L120" s="37" t="inlineStr">
        <is>
          <t>Accumulation. OHP 4x6 at RPE 7 (2-3 RIR); strict laterals. Threshold should feel 'comfortably hard', short phrases only.</t>
        </is>
      </c>
      <c r="M120" s="45" t="n"/>
      <c r="N120" s="45" t="n"/>
      <c r="O120" s="46" t="n"/>
    </row>
    <row r="121" ht="50" customHeight="1">
      <c r="A121" s="28" t="n">
        <v>117</v>
      </c>
      <c r="B121" s="28" t="n">
        <v>17</v>
      </c>
      <c r="C121" s="43" t="n">
        <v>46311</v>
      </c>
      <c r="D121" s="28" t="inlineStr">
        <is>
          <t>Friday</t>
        </is>
      </c>
      <c r="E121" s="44" t="inlineStr">
        <is>
          <t>Chest + Back Density</t>
        </is>
      </c>
      <c r="F121" s="37" t="inlineStr">
        <is>
          <t>Bench / row superset 4x6. Incline press, Chest-supported row, Cable fly, Lat pulldown 3x8-10.</t>
        </is>
      </c>
      <c r="G121" s="37" t="inlineStr">
        <is>
          <t>Hybrid 3 rounds: 40m carry + 12 burpees + 20 lunges</t>
        </is>
      </c>
      <c r="H121" s="28" t="inlineStr">
        <is>
          <t>Moderate</t>
        </is>
      </c>
      <c r="I121" s="37" t="inlineStr">
        <is>
          <t>Full upper-body flush, 10 min</t>
        </is>
      </c>
      <c r="J121" s="37" t="inlineStr">
        <is>
          <t>5 min intention setting</t>
        </is>
      </c>
      <c r="K121" s="37" t="inlineStr">
        <is>
          <t>Hotel: DB density supersets. No gym: push-up/row ladders + loaded carries with bags.</t>
        </is>
      </c>
      <c r="L121" s="37" t="inlineStr">
        <is>
          <t>Accumulation. Minimise rest, chase the pump at RPE 7 (2-3 RIR). Hybrid finisher: carries, burpees, lunges — no rower.</t>
        </is>
      </c>
      <c r="M121" s="45" t="n"/>
      <c r="N121" s="45" t="n"/>
      <c r="O121" s="46" t="n"/>
    </row>
    <row r="122" ht="50" customHeight="1">
      <c r="A122" s="28" t="n">
        <v>118</v>
      </c>
      <c r="B122" s="28" t="n">
        <v>17</v>
      </c>
      <c r="C122" s="43" t="n">
        <v>46312</v>
      </c>
      <c r="D122" s="28" t="inlineStr">
        <is>
          <t>Saturday</t>
        </is>
      </c>
      <c r="E122" s="44" t="inlineStr">
        <is>
          <t>Legs + Posterior Chain</t>
        </is>
      </c>
      <c r="F122" s="37" t="inlineStr">
        <is>
          <t>Deadlift / RDL 4x6. Front squat, Hip thrust, Nordic curl, Back extension 3x8-10.</t>
        </is>
      </c>
      <c r="G122" s="37" t="inlineStr">
        <is>
          <t>Long Ride 2h30 Zone 2 @ 143-192W</t>
        </is>
      </c>
      <c r="H122" s="28" t="inlineStr">
        <is>
          <t>Long</t>
        </is>
      </c>
      <c r="I122" s="37" t="inlineStr">
        <is>
          <t>Hamstring + glute release, 12 min</t>
        </is>
      </c>
      <c r="J122" s="37" t="inlineStr">
        <is>
          <t>10 min outdoor mindfulness</t>
        </is>
      </c>
      <c r="K122" s="37" t="inlineStr">
        <is>
          <t>Hotel: DB RDL + hip thrust. No gym: single-leg RDL, hip bridges, long Zone 2 ride/run.</t>
        </is>
      </c>
      <c r="L122" s="37" t="inlineStr">
        <is>
          <t>Accumulation. Heavy posterior chain 4x6 at RPE 7 (2-3 RIR). Fuel the long ride hourly to protect fat loss &amp; recovery.</t>
        </is>
      </c>
      <c r="M122" s="45" t="n"/>
      <c r="N122" s="45" t="n"/>
      <c r="O122" s="46" t="n"/>
    </row>
    <row r="123" ht="50" customHeight="1">
      <c r="A123" s="28" t="n">
        <v>119</v>
      </c>
      <c r="B123" s="28" t="n">
        <v>17</v>
      </c>
      <c r="C123" s="43" t="n">
        <v>46313</v>
      </c>
      <c r="D123" s="28" t="inlineStr">
        <is>
          <t>Sunday</t>
        </is>
      </c>
      <c r="E123" s="44" t="inlineStr">
        <is>
          <t>Arms + Core</t>
        </is>
      </c>
      <c r="F123" s="37" t="inlineStr">
        <is>
          <t>Barbell curl 4x6. Hammer curl, Skullcrusher, Rope pushdown, Hanging leg raise, Plank, Pallof press 3x8-10.</t>
        </is>
      </c>
      <c r="G123" s="37" t="inlineStr">
        <is>
          <t>Long Run 1h13 easy (Zone 2)</t>
        </is>
      </c>
      <c r="H123" s="28" t="inlineStr">
        <is>
          <t>Long</t>
        </is>
      </c>
      <c r="I123" s="37" t="inlineStr">
        <is>
          <t>Spine + hip flow, 12 min</t>
        </is>
      </c>
      <c r="J123" s="37" t="inlineStr">
        <is>
          <t>10 min reflection / week review</t>
        </is>
      </c>
      <c r="K123" s="37" t="inlineStr">
        <is>
          <t>Hotel: DB arms + core circuit. No gym: band curls, dips, planks, long easy run.</t>
        </is>
      </c>
      <c r="L123" s="37" t="inlineStr">
        <is>
          <t>Accumulation. Arms &amp; core at RPE 7 (2-3 RIR). Long run is 80% easy volume — keep it conversational. Log the week's wins.</t>
        </is>
      </c>
      <c r="M123" s="45" t="n"/>
      <c r="N123" s="45" t="n"/>
      <c r="O123" s="46" t="n"/>
    </row>
    <row r="124" ht="50" customHeight="1">
      <c r="A124" s="47" t="n">
        <v>120</v>
      </c>
      <c r="B124" s="47" t="n">
        <v>18</v>
      </c>
      <c r="C124" s="48" t="n">
        <v>46314</v>
      </c>
      <c r="D124" s="47" t="inlineStr">
        <is>
          <t>Monday</t>
        </is>
      </c>
      <c r="E124" s="49" t="inlineStr">
        <is>
          <t>Chest + Biceps</t>
        </is>
      </c>
      <c r="F124" s="50" t="inlineStr">
        <is>
          <t>Barbell bench press 5x5. Incline DB press, Weighted dip, Cable fly, EZ-bar curl, Incline DB curl, Cable curl 4x10-12.</t>
        </is>
      </c>
      <c r="G124" s="50" t="inlineStr">
        <is>
          <t>Zone 2 Cycle 1h00 @ 145-194W</t>
        </is>
      </c>
      <c r="H124" s="47" t="inlineStr">
        <is>
          <t>Easy</t>
        </is>
      </c>
      <c r="I124" s="50" t="inlineStr">
        <is>
          <t>Thoracic opener + pec stretch, 10 min</t>
        </is>
      </c>
      <c r="J124" s="50" t="inlineStr">
        <is>
          <t>5 min box breathing</t>
        </is>
      </c>
      <c r="K124" s="50" t="inlineStr">
        <is>
          <t>Hotel: DB press + DB curls. No gym: deep push-ups, band curls, slow tempo.</t>
        </is>
      </c>
      <c r="L124" s="50" t="inlineStr">
        <is>
          <t>Progression week. Bench 5x5 at RPE 7-8 (2 RIR); accessories 4x10-12. Cycle is true Zone 2 recovery — nose-breathing only.</t>
        </is>
      </c>
      <c r="M124" s="45" t="n"/>
      <c r="N124" s="45" t="n"/>
      <c r="O124" s="46" t="n"/>
    </row>
    <row r="125" ht="50" customHeight="1">
      <c r="A125" s="47" t="n">
        <v>121</v>
      </c>
      <c r="B125" s="47" t="n">
        <v>18</v>
      </c>
      <c r="C125" s="48" t="n">
        <v>46315</v>
      </c>
      <c r="D125" s="47" t="inlineStr">
        <is>
          <t>Tuesday</t>
        </is>
      </c>
      <c r="E125" s="49" t="inlineStr">
        <is>
          <t>Back + Triceps</t>
        </is>
      </c>
      <c r="F125" s="50" t="inlineStr">
        <is>
          <t>Weighted pull-up 5x5. Barbell row, Lat pulldown, Face pull, Close-grip bench, Rope pushdown, Overhead extension 4x10-12.</t>
        </is>
      </c>
      <c r="G125" s="50" t="inlineStr">
        <is>
          <t>VO2 Bike 6x3min @ 274-310W / 3min easy</t>
        </is>
      </c>
      <c r="H125" s="47" t="inlineStr">
        <is>
          <t>Hard</t>
        </is>
      </c>
      <c r="I125" s="50" t="inlineStr">
        <is>
          <t>Lat + lower-back decompression, 10 min</t>
        </is>
      </c>
      <c r="J125" s="50" t="inlineStr">
        <is>
          <t>5 min gratitude journaling</t>
        </is>
      </c>
      <c r="K125" s="50" t="inlineStr">
        <is>
          <t>Hotel: DB row + bench dips. No gym: doorway rows, band pulldown, diamond push-ups.</t>
        </is>
      </c>
      <c r="L125" s="50" t="inlineStr">
        <is>
          <t>Progression. Pulls 5x5 at RPE 7-8 (2 RIR). Fully recover between VO2 reps so you hit the watts every interval.</t>
        </is>
      </c>
      <c r="M125" s="45" t="n"/>
      <c r="N125" s="45" t="n"/>
      <c r="O125" s="46" t="n"/>
    </row>
    <row r="126" ht="50" customHeight="1">
      <c r="A126" s="47" t="n">
        <v>122</v>
      </c>
      <c r="B126" s="47" t="n">
        <v>18</v>
      </c>
      <c r="C126" s="48" t="n">
        <v>46316</v>
      </c>
      <c r="D126" s="47" t="inlineStr">
        <is>
          <t>Wednesday</t>
        </is>
      </c>
      <c r="E126" s="49" t="inlineStr">
        <is>
          <t>Legs Volume</t>
        </is>
      </c>
      <c r="F126" s="50" t="inlineStr">
        <is>
          <t>Back squat 5x5. Leg press, Walking lunge, Leg curl, Calf raise 4x10-12.</t>
        </is>
      </c>
      <c r="G126" s="50" t="inlineStr">
        <is>
          <t>Easy Run 50 min conversational (Zone 2)</t>
        </is>
      </c>
      <c r="H126" s="47" t="inlineStr">
        <is>
          <t>Easy</t>
        </is>
      </c>
      <c r="I126" s="50" t="inlineStr">
        <is>
          <t>Hip flexor + ankle mobility, 10 min</t>
        </is>
      </c>
      <c r="J126" s="50" t="inlineStr">
        <is>
          <t>5 min body scan</t>
        </is>
      </c>
      <c r="K126" s="50" t="inlineStr">
        <is>
          <t>Hotel: goblet squat + DB lunge. No gym: Bulgarian split squat, step-ups, tempo squats.</t>
        </is>
      </c>
      <c r="L126" s="50" t="inlineStr">
        <is>
          <t>Progression. Squat 5x5 at RPE 7-8 (2 RIR), accessories 4x10-12. Keep the run genuinely easy to aid leg recovery.</t>
        </is>
      </c>
      <c r="M126" s="45" t="n"/>
      <c r="N126" s="45" t="n"/>
      <c r="O126" s="46" t="n"/>
    </row>
    <row r="127" ht="50" customHeight="1">
      <c r="A127" s="47" t="n">
        <v>123</v>
      </c>
      <c r="B127" s="47" t="n">
        <v>18</v>
      </c>
      <c r="C127" s="48" t="n">
        <v>46317</v>
      </c>
      <c r="D127" s="47" t="inlineStr">
        <is>
          <t>Thursday</t>
        </is>
      </c>
      <c r="E127" s="49" t="inlineStr">
        <is>
          <t>Shoulders</t>
        </is>
      </c>
      <c r="F127" s="50" t="inlineStr">
        <is>
          <t>Overhead press 5x5. DB lateral raise, Rear-delt fly, Upright row, Shrug 4x10-12.</t>
        </is>
      </c>
      <c r="G127" s="50" t="inlineStr">
        <is>
          <t>Threshold Cycle 2x12min @ 235-271W</t>
        </is>
      </c>
      <c r="H127" s="47" t="inlineStr">
        <is>
          <t>Hard</t>
        </is>
      </c>
      <c r="I127" s="50" t="inlineStr">
        <is>
          <t>Shoulder CARs + band dislocates, 10 min</t>
        </is>
      </c>
      <c r="J127" s="50" t="inlineStr">
        <is>
          <t>5 min focus meditation</t>
        </is>
      </c>
      <c r="K127" s="50" t="inlineStr">
        <is>
          <t>Hotel: DB press + raises. No gym: pike push-ups, band laterals, backpack press.</t>
        </is>
      </c>
      <c r="L127" s="50" t="inlineStr">
        <is>
          <t>Progression. OHP 5x5 at RPE 7-8 (2 RIR); strict laterals. Threshold should feel 'comfortably hard', short phrases only.</t>
        </is>
      </c>
      <c r="M127" s="45" t="n"/>
      <c r="N127" s="45" t="n"/>
      <c r="O127" s="46" t="n"/>
    </row>
    <row r="128" ht="50" customHeight="1">
      <c r="A128" s="47" t="n">
        <v>124</v>
      </c>
      <c r="B128" s="47" t="n">
        <v>18</v>
      </c>
      <c r="C128" s="48" t="n">
        <v>46318</v>
      </c>
      <c r="D128" s="47" t="inlineStr">
        <is>
          <t>Friday</t>
        </is>
      </c>
      <c r="E128" s="49" t="inlineStr">
        <is>
          <t>Chest + Back Density</t>
        </is>
      </c>
      <c r="F128" s="50" t="inlineStr">
        <is>
          <t>Bench / row superset 5x5. Incline press, Chest-supported row, Cable fly, Lat pulldown 4x10-12.</t>
        </is>
      </c>
      <c r="G128" s="50" t="inlineStr">
        <is>
          <t>Hybrid 4 rounds: 40m carry + 12 burpees + 20 lunges</t>
        </is>
      </c>
      <c r="H128" s="47" t="inlineStr">
        <is>
          <t>Moderate</t>
        </is>
      </c>
      <c r="I128" s="50" t="inlineStr">
        <is>
          <t>Full upper-body flush, 10 min</t>
        </is>
      </c>
      <c r="J128" s="50" t="inlineStr">
        <is>
          <t>5 min intention setting</t>
        </is>
      </c>
      <c r="K128" s="50" t="inlineStr">
        <is>
          <t>Hotel: DB density supersets. No gym: push-up/row ladders + loaded carries with bags.</t>
        </is>
      </c>
      <c r="L128" s="50" t="inlineStr">
        <is>
          <t>Progression. Minimise rest, chase the pump at RPE 7-8 (2 RIR). Hybrid finisher: carries, burpees, lunges — no rower.</t>
        </is>
      </c>
      <c r="M128" s="45" t="n"/>
      <c r="N128" s="45" t="n"/>
      <c r="O128" s="46" t="n"/>
    </row>
    <row r="129" ht="50" customHeight="1">
      <c r="A129" s="47" t="n">
        <v>125</v>
      </c>
      <c r="B129" s="47" t="n">
        <v>18</v>
      </c>
      <c r="C129" s="48" t="n">
        <v>46319</v>
      </c>
      <c r="D129" s="47" t="inlineStr">
        <is>
          <t>Saturday</t>
        </is>
      </c>
      <c r="E129" s="49" t="inlineStr">
        <is>
          <t>Legs + Posterior Chain</t>
        </is>
      </c>
      <c r="F129" s="50" t="inlineStr">
        <is>
          <t>Deadlift / RDL 5x5. Front squat, Hip thrust, Nordic curl, Back extension 4x10-12.</t>
        </is>
      </c>
      <c r="G129" s="50" t="inlineStr">
        <is>
          <t>Long Ride 2h30 Zone 2 @ 145-194W</t>
        </is>
      </c>
      <c r="H129" s="47" t="inlineStr">
        <is>
          <t>Long</t>
        </is>
      </c>
      <c r="I129" s="50" t="inlineStr">
        <is>
          <t>Hamstring + glute release, 12 min</t>
        </is>
      </c>
      <c r="J129" s="50" t="inlineStr">
        <is>
          <t>10 min outdoor mindfulness</t>
        </is>
      </c>
      <c r="K129" s="50" t="inlineStr">
        <is>
          <t>Hotel: DB RDL + hip thrust. No gym: single-leg RDL, hip bridges, long Zone 2 ride/run.</t>
        </is>
      </c>
      <c r="L129" s="50" t="inlineStr">
        <is>
          <t>Progression. Heavy posterior chain 5x5 at RPE 7-8 (2 RIR). Fuel the long ride hourly to protect fat loss &amp; recovery.</t>
        </is>
      </c>
      <c r="M129" s="45" t="n"/>
      <c r="N129" s="45" t="n"/>
      <c r="O129" s="46" t="n"/>
    </row>
    <row r="130" ht="50" customHeight="1">
      <c r="A130" s="47" t="n">
        <v>126</v>
      </c>
      <c r="B130" s="47" t="n">
        <v>18</v>
      </c>
      <c r="C130" s="48" t="n">
        <v>46320</v>
      </c>
      <c r="D130" s="47" t="inlineStr">
        <is>
          <t>Sunday</t>
        </is>
      </c>
      <c r="E130" s="49" t="inlineStr">
        <is>
          <t>Arms + Core</t>
        </is>
      </c>
      <c r="F130" s="50" t="inlineStr">
        <is>
          <t>Barbell curl 5x5. Hammer curl, Skullcrusher, Rope pushdown, Hanging leg raise, Plank, Pallof press 4x10-12.</t>
        </is>
      </c>
      <c r="G130" s="50" t="inlineStr">
        <is>
          <t>Long Run 1h13 easy (Zone 2)</t>
        </is>
      </c>
      <c r="H130" s="47" t="inlineStr">
        <is>
          <t>Long</t>
        </is>
      </c>
      <c r="I130" s="50" t="inlineStr">
        <is>
          <t>Spine + hip flow, 12 min</t>
        </is>
      </c>
      <c r="J130" s="50" t="inlineStr">
        <is>
          <t>10 min reflection / week review</t>
        </is>
      </c>
      <c r="K130" s="50" t="inlineStr">
        <is>
          <t>Hotel: DB arms + core circuit. No gym: band curls, dips, planks, long easy run.</t>
        </is>
      </c>
      <c r="L130" s="50" t="inlineStr">
        <is>
          <t>Progression. Arms &amp; core at RPE 7-8 (2 RIR). Long run is 80% easy volume — keep it conversational. Log the week's wins.</t>
        </is>
      </c>
      <c r="M130" s="45" t="n"/>
      <c r="N130" s="45" t="n"/>
      <c r="O130" s="46" t="n"/>
    </row>
    <row r="131" ht="50" customHeight="1">
      <c r="A131" s="28" t="n">
        <v>127</v>
      </c>
      <c r="B131" s="28" t="n">
        <v>19</v>
      </c>
      <c r="C131" s="43" t="n">
        <v>46321</v>
      </c>
      <c r="D131" s="28" t="inlineStr">
        <is>
          <t>Monday</t>
        </is>
      </c>
      <c r="E131" s="44" t="inlineStr">
        <is>
          <t>Chest + Biceps</t>
        </is>
      </c>
      <c r="F131" s="37" t="inlineStr">
        <is>
          <t>Barbell bench press 5x5 (RPE8). Incline DB press, Weighted dip, Cable fly, EZ-bar curl, Incline DB curl, Cable curl 4x12-15.</t>
        </is>
      </c>
      <c r="G131" s="37" t="inlineStr">
        <is>
          <t>Zone 2 Cycle 1h10 @ 146-196W</t>
        </is>
      </c>
      <c r="H131" s="28" t="inlineStr">
        <is>
          <t>Easy</t>
        </is>
      </c>
      <c r="I131" s="37" t="inlineStr">
        <is>
          <t>Thoracic opener + pec stretch, 10 min</t>
        </is>
      </c>
      <c r="J131" s="37" t="inlineStr">
        <is>
          <t>5 min box breathing</t>
        </is>
      </c>
      <c r="K131" s="37" t="inlineStr">
        <is>
          <t>Hotel: DB press + DB curls. No gym: deep push-ups, band curls, slow tempo.</t>
        </is>
      </c>
      <c r="L131" s="37" t="inlineStr">
        <is>
          <t>Peak Volume week. Bench 5x5 (RPE8) at RPE 8 (1-2 RIR); accessories 4x12-15. Cycle is true Zone 2 recovery — nose-breathing only.</t>
        </is>
      </c>
      <c r="M131" s="45" t="n"/>
      <c r="N131" s="45" t="n"/>
      <c r="O131" s="46" t="n"/>
    </row>
    <row r="132" ht="50" customHeight="1">
      <c r="A132" s="28" t="n">
        <v>128</v>
      </c>
      <c r="B132" s="28" t="n">
        <v>19</v>
      </c>
      <c r="C132" s="43" t="n">
        <v>46322</v>
      </c>
      <c r="D132" s="28" t="inlineStr">
        <is>
          <t>Tuesday</t>
        </is>
      </c>
      <c r="E132" s="44" t="inlineStr">
        <is>
          <t>Back + Triceps</t>
        </is>
      </c>
      <c r="F132" s="37" t="inlineStr">
        <is>
          <t>Weighted pull-up 5x5 (RPE8). Barbell row, Lat pulldown, Face pull, Close-grip bench, Rope pushdown, Overhead extension 4x12-15.</t>
        </is>
      </c>
      <c r="G132" s="37" t="inlineStr">
        <is>
          <t>VO2 Bike 6x3min @ 277-314W / 3min easy</t>
        </is>
      </c>
      <c r="H132" s="28" t="inlineStr">
        <is>
          <t>Hard</t>
        </is>
      </c>
      <c r="I132" s="37" t="inlineStr">
        <is>
          <t>Lat + lower-back decompression, 10 min</t>
        </is>
      </c>
      <c r="J132" s="37" t="inlineStr">
        <is>
          <t>5 min gratitude journaling</t>
        </is>
      </c>
      <c r="K132" s="37" t="inlineStr">
        <is>
          <t>Hotel: DB row + bench dips. No gym: doorway rows, band pulldown, diamond push-ups.</t>
        </is>
      </c>
      <c r="L132" s="37" t="inlineStr">
        <is>
          <t>Peak Volume. Pulls 5x5 (RPE8) at RPE 8 (1-2 RIR). Fully recover between VO2 reps so you hit the watts every interval.</t>
        </is>
      </c>
      <c r="M132" s="45" t="n"/>
      <c r="N132" s="45" t="n"/>
      <c r="O132" s="46" t="n"/>
    </row>
    <row r="133" ht="50" customHeight="1">
      <c r="A133" s="28" t="n">
        <v>129</v>
      </c>
      <c r="B133" s="28" t="n">
        <v>19</v>
      </c>
      <c r="C133" s="43" t="n">
        <v>46323</v>
      </c>
      <c r="D133" s="28" t="inlineStr">
        <is>
          <t>Wednesday</t>
        </is>
      </c>
      <c r="E133" s="44" t="inlineStr">
        <is>
          <t>Legs Volume</t>
        </is>
      </c>
      <c r="F133" s="37" t="inlineStr">
        <is>
          <t>Back squat 5x5 (RPE8). Leg press, Walking lunge, Leg curl, Calf raise 4x12-15.</t>
        </is>
      </c>
      <c r="G133" s="37" t="inlineStr">
        <is>
          <t>Easy Run 55 min conversational (Zone 2)</t>
        </is>
      </c>
      <c r="H133" s="28" t="inlineStr">
        <is>
          <t>Easy</t>
        </is>
      </c>
      <c r="I133" s="37" t="inlineStr">
        <is>
          <t>Hip flexor + ankle mobility, 10 min</t>
        </is>
      </c>
      <c r="J133" s="37" t="inlineStr">
        <is>
          <t>5 min body scan</t>
        </is>
      </c>
      <c r="K133" s="37" t="inlineStr">
        <is>
          <t>Hotel: goblet squat + DB lunge. No gym: Bulgarian split squat, step-ups, tempo squats.</t>
        </is>
      </c>
      <c r="L133" s="37" t="inlineStr">
        <is>
          <t>Peak Volume. Squat 5x5 (RPE8) at RPE 8 (1-2 RIR), accessories 4x12-15. Keep the run genuinely easy to aid leg recovery.</t>
        </is>
      </c>
      <c r="M133" s="45" t="n"/>
      <c r="N133" s="45" t="n"/>
      <c r="O133" s="46" t="n"/>
    </row>
    <row r="134" ht="50" customHeight="1">
      <c r="A134" s="28" t="n">
        <v>130</v>
      </c>
      <c r="B134" s="28" t="n">
        <v>19</v>
      </c>
      <c r="C134" s="43" t="n">
        <v>46324</v>
      </c>
      <c r="D134" s="28" t="inlineStr">
        <is>
          <t>Thursday</t>
        </is>
      </c>
      <c r="E134" s="44" t="inlineStr">
        <is>
          <t>Shoulders</t>
        </is>
      </c>
      <c r="F134" s="37" t="inlineStr">
        <is>
          <t>Overhead press 5x5 (RPE8). DB lateral raise, Rear-delt fly, Upright row, Shrug 4x12-15.</t>
        </is>
      </c>
      <c r="G134" s="37" t="inlineStr">
        <is>
          <t>Threshold Cycle 3x12min @ 238-275W</t>
        </is>
      </c>
      <c r="H134" s="28" t="inlineStr">
        <is>
          <t>Hard</t>
        </is>
      </c>
      <c r="I134" s="37" t="inlineStr">
        <is>
          <t>Shoulder CARs + band dislocates, 10 min</t>
        </is>
      </c>
      <c r="J134" s="37" t="inlineStr">
        <is>
          <t>5 min focus meditation</t>
        </is>
      </c>
      <c r="K134" s="37" t="inlineStr">
        <is>
          <t>Hotel: DB press + raises. No gym: pike push-ups, band laterals, backpack press.</t>
        </is>
      </c>
      <c r="L134" s="37" t="inlineStr">
        <is>
          <t>Peak Volume. OHP 5x5 (RPE8) at RPE 8 (1-2 RIR); strict laterals. Threshold should feel 'comfortably hard', short phrases only.</t>
        </is>
      </c>
      <c r="M134" s="45" t="n"/>
      <c r="N134" s="45" t="n"/>
      <c r="O134" s="46" t="n"/>
    </row>
    <row r="135" ht="50" customHeight="1">
      <c r="A135" s="28" t="n">
        <v>131</v>
      </c>
      <c r="B135" s="28" t="n">
        <v>19</v>
      </c>
      <c r="C135" s="43" t="n">
        <v>46325</v>
      </c>
      <c r="D135" s="28" t="inlineStr">
        <is>
          <t>Friday</t>
        </is>
      </c>
      <c r="E135" s="44" t="inlineStr">
        <is>
          <t>Chest + Back Density</t>
        </is>
      </c>
      <c r="F135" s="37" t="inlineStr">
        <is>
          <t>Bench / row superset 5x5 (RPE8). Incline press, Chest-supported row, Cable fly, Lat pulldown 4x12-15.</t>
        </is>
      </c>
      <c r="G135" s="37" t="inlineStr">
        <is>
          <t>Hybrid 5 rounds: 40m carry + 12 burpees + 20 lunges</t>
        </is>
      </c>
      <c r="H135" s="28" t="inlineStr">
        <is>
          <t>Moderate</t>
        </is>
      </c>
      <c r="I135" s="37" t="inlineStr">
        <is>
          <t>Full upper-body flush, 10 min</t>
        </is>
      </c>
      <c r="J135" s="37" t="inlineStr">
        <is>
          <t>5 min intention setting</t>
        </is>
      </c>
      <c r="K135" s="37" t="inlineStr">
        <is>
          <t>Hotel: DB density supersets. No gym: push-up/row ladders + loaded carries with bags.</t>
        </is>
      </c>
      <c r="L135" s="37" t="inlineStr">
        <is>
          <t>Peak Volume. Minimise rest, chase the pump at RPE 8 (1-2 RIR). Hybrid finisher: carries, burpees, lunges — no rower.</t>
        </is>
      </c>
      <c r="M135" s="45" t="n"/>
      <c r="N135" s="45" t="n"/>
      <c r="O135" s="46" t="n"/>
    </row>
    <row r="136" ht="50" customHeight="1">
      <c r="A136" s="28" t="n">
        <v>132</v>
      </c>
      <c r="B136" s="28" t="n">
        <v>19</v>
      </c>
      <c r="C136" s="43" t="n">
        <v>46326</v>
      </c>
      <c r="D136" s="28" t="inlineStr">
        <is>
          <t>Saturday</t>
        </is>
      </c>
      <c r="E136" s="44" t="inlineStr">
        <is>
          <t>Legs + Posterior Chain</t>
        </is>
      </c>
      <c r="F136" s="37" t="inlineStr">
        <is>
          <t>Deadlift / RDL 5x5 (RPE8). Front squat, Hip thrust, Nordic curl, Back extension 4x12-15.</t>
        </is>
      </c>
      <c r="G136" s="37" t="inlineStr">
        <is>
          <t>Long Ride 2h45 Zone 2 @ 146-196W</t>
        </is>
      </c>
      <c r="H136" s="28" t="inlineStr">
        <is>
          <t>Long</t>
        </is>
      </c>
      <c r="I136" s="37" t="inlineStr">
        <is>
          <t>Hamstring + glute release, 12 min</t>
        </is>
      </c>
      <c r="J136" s="37" t="inlineStr">
        <is>
          <t>10 min outdoor mindfulness</t>
        </is>
      </c>
      <c r="K136" s="37" t="inlineStr">
        <is>
          <t>Hotel: DB RDL + hip thrust. No gym: single-leg RDL, hip bridges, long Zone 2 ride/run.</t>
        </is>
      </c>
      <c r="L136" s="37" t="inlineStr">
        <is>
          <t>Peak Volume. Heavy posterior chain 5x5 (RPE8) at RPE 8 (1-2 RIR). Fuel the long ride hourly to protect fat loss &amp; recovery.</t>
        </is>
      </c>
      <c r="M136" s="45" t="n"/>
      <c r="N136" s="45" t="n"/>
      <c r="O136" s="46" t="n"/>
    </row>
    <row r="137" ht="50" customHeight="1">
      <c r="A137" s="28" t="n">
        <v>133</v>
      </c>
      <c r="B137" s="28" t="n">
        <v>19</v>
      </c>
      <c r="C137" s="43" t="n">
        <v>46327</v>
      </c>
      <c r="D137" s="28" t="inlineStr">
        <is>
          <t>Sunday</t>
        </is>
      </c>
      <c r="E137" s="44" t="inlineStr">
        <is>
          <t>Arms + Core</t>
        </is>
      </c>
      <c r="F137" s="37" t="inlineStr">
        <is>
          <t>Barbell curl 5x5 (RPE8). Hammer curl, Skullcrusher, Rope pushdown, Hanging leg raise, Plank, Pallof press 4x12-15.</t>
        </is>
      </c>
      <c r="G137" s="37" t="inlineStr">
        <is>
          <t>Long Run 1h21 easy (Zone 2)</t>
        </is>
      </c>
      <c r="H137" s="28" t="inlineStr">
        <is>
          <t>Long</t>
        </is>
      </c>
      <c r="I137" s="37" t="inlineStr">
        <is>
          <t>Spine + hip flow, 12 min</t>
        </is>
      </c>
      <c r="J137" s="37" t="inlineStr">
        <is>
          <t>10 min reflection / week review</t>
        </is>
      </c>
      <c r="K137" s="37" t="inlineStr">
        <is>
          <t>Hotel: DB arms + core circuit. No gym: band curls, dips, planks, long easy run.</t>
        </is>
      </c>
      <c r="L137" s="37" t="inlineStr">
        <is>
          <t>Peak Volume. Arms &amp; core at RPE 8 (1-2 RIR). Long run is 80% easy volume — keep it conversational. Log the week's wins.</t>
        </is>
      </c>
      <c r="M137" s="45" t="n"/>
      <c r="N137" s="45" t="n"/>
      <c r="O137" s="46" t="n"/>
    </row>
    <row r="138" ht="50" customHeight="1">
      <c r="A138" s="47" t="n">
        <v>134</v>
      </c>
      <c r="B138" s="47" t="n">
        <v>20</v>
      </c>
      <c r="C138" s="48" t="n">
        <v>46328</v>
      </c>
      <c r="D138" s="47" t="inlineStr">
        <is>
          <t>Monday</t>
        </is>
      </c>
      <c r="E138" s="49" t="inlineStr">
        <is>
          <t>Chest + Biceps</t>
        </is>
      </c>
      <c r="F138" s="50" t="inlineStr">
        <is>
          <t>DELOAD — Barbell bench press 3x5 light. Incline DB press, Weighted dip, Cable fly, EZ-bar curl, Incline DB curl, Cable curl 2x8 (-40% vol).</t>
        </is>
      </c>
      <c r="G138" s="50" t="inlineStr">
        <is>
          <t>Zone 2 Cycle 30 min @ 146-196W</t>
        </is>
      </c>
      <c r="H138" s="47" t="inlineStr">
        <is>
          <t>Easy</t>
        </is>
      </c>
      <c r="I138" s="50" t="inlineStr">
        <is>
          <t>Thoracic opener + pec stretch, 10 min</t>
        </is>
      </c>
      <c r="J138" s="50" t="inlineStr">
        <is>
          <t>5 min box breathing</t>
        </is>
      </c>
      <c r="K138" s="50" t="inlineStr">
        <is>
          <t>Hotel: DB press + DB curls. No gym: deep push-ups, band curls, slow tempo.</t>
        </is>
      </c>
      <c r="L138" s="50" t="inlineStr">
        <is>
          <t>Deload week. Bench 3x5 light at RPE 5-6 (deload); accessories 2x8 (-40% vol). Cycle is true Zone 2 recovery — nose-breathing only.</t>
        </is>
      </c>
      <c r="M138" s="45" t="n"/>
      <c r="N138" s="45" t="n"/>
      <c r="O138" s="46" t="n"/>
    </row>
    <row r="139" ht="50" customHeight="1">
      <c r="A139" s="47" t="n">
        <v>135</v>
      </c>
      <c r="B139" s="47" t="n">
        <v>20</v>
      </c>
      <c r="C139" s="48" t="n">
        <v>46329</v>
      </c>
      <c r="D139" s="47" t="inlineStr">
        <is>
          <t>Tuesday</t>
        </is>
      </c>
      <c r="E139" s="49" t="inlineStr">
        <is>
          <t>Back + Triceps</t>
        </is>
      </c>
      <c r="F139" s="50" t="inlineStr">
        <is>
          <t>DELOAD — Weighted pull-up 3x5 light. Barbell row, Lat pulldown, Face pull, Close-grip bench, Rope pushdown, Overhead extension 2x8 (-40% vol).</t>
        </is>
      </c>
      <c r="G139" s="50" t="inlineStr">
        <is>
          <t>VO2 Bike 3x3min @ 277-314W / 3min easy</t>
        </is>
      </c>
      <c r="H139" s="47" t="inlineStr">
        <is>
          <t>Moderate</t>
        </is>
      </c>
      <c r="I139" s="50" t="inlineStr">
        <is>
          <t>Lat + lower-back decompression, 10 min</t>
        </is>
      </c>
      <c r="J139" s="50" t="inlineStr">
        <is>
          <t>5 min gratitude journaling</t>
        </is>
      </c>
      <c r="K139" s="50" t="inlineStr">
        <is>
          <t>Hotel: DB row + bench dips. No gym: doorway rows, band pulldown, diamond push-ups.</t>
        </is>
      </c>
      <c r="L139" s="50" t="inlineStr">
        <is>
          <t>Deload. Pulls 3x5 light at RPE 5-6 (deload). Fully recover between VO2 reps so you hit the watts every interval.</t>
        </is>
      </c>
      <c r="M139" s="45" t="n"/>
      <c r="N139" s="45" t="n"/>
      <c r="O139" s="46" t="n"/>
    </row>
    <row r="140" ht="50" customHeight="1">
      <c r="A140" s="47" t="n">
        <v>136</v>
      </c>
      <c r="B140" s="47" t="n">
        <v>20</v>
      </c>
      <c r="C140" s="48" t="n">
        <v>46330</v>
      </c>
      <c r="D140" s="47" t="inlineStr">
        <is>
          <t>Wednesday</t>
        </is>
      </c>
      <c r="E140" s="49" t="inlineStr">
        <is>
          <t>Legs Volume</t>
        </is>
      </c>
      <c r="F140" s="50" t="inlineStr">
        <is>
          <t>DELOAD — Back squat 3x5 light. Leg press, Walking lunge, Leg curl, Calf raise 2x8 (-40% vol).</t>
        </is>
      </c>
      <c r="G140" s="50" t="inlineStr">
        <is>
          <t>Easy Run 25 min conversational (Zone 2)</t>
        </is>
      </c>
      <c r="H140" s="47" t="inlineStr">
        <is>
          <t>Easy</t>
        </is>
      </c>
      <c r="I140" s="50" t="inlineStr">
        <is>
          <t>Hip flexor + ankle mobility, 10 min</t>
        </is>
      </c>
      <c r="J140" s="50" t="inlineStr">
        <is>
          <t>5 min body scan</t>
        </is>
      </c>
      <c r="K140" s="50" t="inlineStr">
        <is>
          <t>Hotel: goblet squat + DB lunge. No gym: Bulgarian split squat, step-ups, tempo squats.</t>
        </is>
      </c>
      <c r="L140" s="50" t="inlineStr">
        <is>
          <t>Deload. Squat 3x5 light at RPE 5-6 (deload), accessories 2x8 (-40% vol). Keep the run genuinely easy to aid leg recovery.</t>
        </is>
      </c>
      <c r="M140" s="45" t="n"/>
      <c r="N140" s="45" t="n"/>
      <c r="O140" s="46" t="n"/>
    </row>
    <row r="141" ht="50" customHeight="1">
      <c r="A141" s="47" t="n">
        <v>137</v>
      </c>
      <c r="B141" s="47" t="n">
        <v>20</v>
      </c>
      <c r="C141" s="48" t="n">
        <v>46331</v>
      </c>
      <c r="D141" s="47" t="inlineStr">
        <is>
          <t>Thursday</t>
        </is>
      </c>
      <c r="E141" s="49" t="inlineStr">
        <is>
          <t>Shoulders</t>
        </is>
      </c>
      <c r="F141" s="50" t="inlineStr">
        <is>
          <t>DELOAD — Overhead press 3x5 light. DB lateral raise, Rear-delt fly, Upright row, Shrug 2x8 (-40% vol).</t>
        </is>
      </c>
      <c r="G141" s="50" t="inlineStr">
        <is>
          <t>Threshold Cycle 2x8min @ 238-275W</t>
        </is>
      </c>
      <c r="H141" s="47" t="inlineStr">
        <is>
          <t>Moderate</t>
        </is>
      </c>
      <c r="I141" s="50" t="inlineStr">
        <is>
          <t>Shoulder CARs + band dislocates, 10 min</t>
        </is>
      </c>
      <c r="J141" s="50" t="inlineStr">
        <is>
          <t>5 min focus meditation</t>
        </is>
      </c>
      <c r="K141" s="50" t="inlineStr">
        <is>
          <t>Hotel: DB press + raises. No gym: pike push-ups, band laterals, backpack press.</t>
        </is>
      </c>
      <c r="L141" s="50" t="inlineStr">
        <is>
          <t>Deload. OHP 3x5 light at RPE 5-6 (deload); strict laterals. Threshold should feel 'comfortably hard', short phrases only.</t>
        </is>
      </c>
      <c r="M141" s="45" t="n"/>
      <c r="N141" s="45" t="n"/>
      <c r="O141" s="46" t="n"/>
    </row>
    <row r="142" ht="50" customHeight="1">
      <c r="A142" s="47" t="n">
        <v>138</v>
      </c>
      <c r="B142" s="47" t="n">
        <v>20</v>
      </c>
      <c r="C142" s="48" t="n">
        <v>46332</v>
      </c>
      <c r="D142" s="47" t="inlineStr">
        <is>
          <t>Friday</t>
        </is>
      </c>
      <c r="E142" s="49" t="inlineStr">
        <is>
          <t>Chest + Back Density</t>
        </is>
      </c>
      <c r="F142" s="50" t="inlineStr">
        <is>
          <t>DELOAD — Bench / row superset 3x5 light. Incline press, Chest-supported row, Cable fly, Lat pulldown 2x8 (-40% vol).</t>
        </is>
      </c>
      <c r="G142" s="50" t="inlineStr">
        <is>
          <t>Hybrid 3 rounds: 40m carry + 12 burpees + 20 lunges</t>
        </is>
      </c>
      <c r="H142" s="47" t="inlineStr">
        <is>
          <t>Moderate</t>
        </is>
      </c>
      <c r="I142" s="50" t="inlineStr">
        <is>
          <t>Full upper-body flush, 10 min</t>
        </is>
      </c>
      <c r="J142" s="50" t="inlineStr">
        <is>
          <t>5 min intention setting</t>
        </is>
      </c>
      <c r="K142" s="50" t="inlineStr">
        <is>
          <t>Hotel: DB density supersets. No gym: push-up/row ladders + loaded carries with bags.</t>
        </is>
      </c>
      <c r="L142" s="50" t="inlineStr">
        <is>
          <t>Deload. Minimise rest, chase the pump at RPE 5-6 (deload). Hybrid finisher: carries, burpees, lunges — no rower.</t>
        </is>
      </c>
      <c r="M142" s="45" t="n"/>
      <c r="N142" s="45" t="n"/>
      <c r="O142" s="46" t="n"/>
    </row>
    <row r="143" ht="50" customHeight="1">
      <c r="A143" s="47" t="n">
        <v>139</v>
      </c>
      <c r="B143" s="47" t="n">
        <v>20</v>
      </c>
      <c r="C143" s="48" t="n">
        <v>46333</v>
      </c>
      <c r="D143" s="47" t="inlineStr">
        <is>
          <t>Saturday</t>
        </is>
      </c>
      <c r="E143" s="49" t="inlineStr">
        <is>
          <t>Legs + Posterior Chain</t>
        </is>
      </c>
      <c r="F143" s="50" t="inlineStr">
        <is>
          <t>DELOAD — Deadlift / RDL 3x5 light. Front squat, Hip thrust, Nordic curl, Back extension 2x8 (-40% vol).</t>
        </is>
      </c>
      <c r="G143" s="50" t="inlineStr">
        <is>
          <t>Long Ride 1h30 Zone 2 @ 146-196W</t>
        </is>
      </c>
      <c r="H143" s="47" t="inlineStr">
        <is>
          <t>Long</t>
        </is>
      </c>
      <c r="I143" s="50" t="inlineStr">
        <is>
          <t>Hamstring + glute release, 12 min</t>
        </is>
      </c>
      <c r="J143" s="50" t="inlineStr">
        <is>
          <t>10 min outdoor mindfulness</t>
        </is>
      </c>
      <c r="K143" s="50" t="inlineStr">
        <is>
          <t>Hotel: DB RDL + hip thrust. No gym: single-leg RDL, hip bridges, long Zone 2 ride/run.</t>
        </is>
      </c>
      <c r="L143" s="50" t="inlineStr">
        <is>
          <t>Deload. Heavy posterior chain 3x5 light at RPE 5-6 (deload). Fuel the long ride hourly to protect fat loss &amp; recovery.</t>
        </is>
      </c>
      <c r="M143" s="45" t="n"/>
      <c r="N143" s="45" t="n"/>
      <c r="O143" s="46" t="n"/>
    </row>
    <row r="144" ht="50" customHeight="1">
      <c r="A144" s="47" t="n">
        <v>140</v>
      </c>
      <c r="B144" s="47" t="n">
        <v>20</v>
      </c>
      <c r="C144" s="48" t="n">
        <v>46334</v>
      </c>
      <c r="D144" s="47" t="inlineStr">
        <is>
          <t>Sunday</t>
        </is>
      </c>
      <c r="E144" s="49" t="inlineStr">
        <is>
          <t>Arms + Core</t>
        </is>
      </c>
      <c r="F144" s="50" t="inlineStr">
        <is>
          <t>DELOAD — Barbell curl 3x5 light. Hammer curl, Skullcrusher, Rope pushdown, Hanging leg raise, Plank, Pallof press 2x8 (-40% vol).</t>
        </is>
      </c>
      <c r="G144" s="50" t="inlineStr">
        <is>
          <t>Long Run 35 min easy (Zone 2)</t>
        </is>
      </c>
      <c r="H144" s="47" t="inlineStr">
        <is>
          <t>Long</t>
        </is>
      </c>
      <c r="I144" s="50" t="inlineStr">
        <is>
          <t>Spine + hip flow, 12 min</t>
        </is>
      </c>
      <c r="J144" s="50" t="inlineStr">
        <is>
          <t>10 min reflection / week review</t>
        </is>
      </c>
      <c r="K144" s="50" t="inlineStr">
        <is>
          <t>Hotel: DB arms + core circuit. No gym: band curls, dips, planks, long easy run.</t>
        </is>
      </c>
      <c r="L144" s="50" t="inlineStr">
        <is>
          <t>Deload. Arms &amp; core at RPE 5-6 (deload). Long run is 80% easy volume — keep it conversational. Log the week's wins.</t>
        </is>
      </c>
      <c r="M144" s="45" t="n"/>
      <c r="N144" s="45" t="n"/>
      <c r="O144" s="46" t="n"/>
    </row>
    <row r="145" ht="50" customHeight="1">
      <c r="A145" s="28" t="n">
        <v>141</v>
      </c>
      <c r="B145" s="28" t="n">
        <v>21</v>
      </c>
      <c r="C145" s="43" t="n">
        <v>46335</v>
      </c>
      <c r="D145" s="28" t="inlineStr">
        <is>
          <t>Monday</t>
        </is>
      </c>
      <c r="E145" s="44" t="inlineStr">
        <is>
          <t>Chest + Biceps</t>
        </is>
      </c>
      <c r="F145" s="37" t="inlineStr">
        <is>
          <t>Barbell bench press 4x6. Incline DB press, Weighted dip, Cable fly, EZ-bar curl, Incline DB curl, Cable curl 3x8-10.</t>
        </is>
      </c>
      <c r="G145" s="37" t="inlineStr">
        <is>
          <t>Zone 2 Cycle 1h05 @ 149-200W</t>
        </is>
      </c>
      <c r="H145" s="28" t="inlineStr">
        <is>
          <t>Easy</t>
        </is>
      </c>
      <c r="I145" s="37" t="inlineStr">
        <is>
          <t>Thoracic opener + pec stretch, 10 min</t>
        </is>
      </c>
      <c r="J145" s="37" t="inlineStr">
        <is>
          <t>5 min box breathing</t>
        </is>
      </c>
      <c r="K145" s="37" t="inlineStr">
        <is>
          <t>Hotel: DB press + DB curls. No gym: deep push-ups, band curls, slow tempo.</t>
        </is>
      </c>
      <c r="L145" s="37" t="inlineStr">
        <is>
          <t>Accumulation week. Bench 4x6 at RPE 7 (2-3 RIR); accessories 3x8-10. Cycle is true Zone 2 recovery — nose-breathing only.</t>
        </is>
      </c>
      <c r="M145" s="45" t="n"/>
      <c r="N145" s="45" t="n"/>
      <c r="O145" s="46" t="n"/>
    </row>
    <row r="146" ht="50" customHeight="1">
      <c r="A146" s="28" t="n">
        <v>142</v>
      </c>
      <c r="B146" s="28" t="n">
        <v>21</v>
      </c>
      <c r="C146" s="43" t="n">
        <v>46336</v>
      </c>
      <c r="D146" s="28" t="inlineStr">
        <is>
          <t>Tuesday</t>
        </is>
      </c>
      <c r="E146" s="44" t="inlineStr">
        <is>
          <t>Back + Triceps</t>
        </is>
      </c>
      <c r="F146" s="37" t="inlineStr">
        <is>
          <t>Weighted pull-up 4x6. Barbell row, Lat pulldown, Face pull, Close-grip bench, Rope pushdown, Overhead extension 3x8-10.</t>
        </is>
      </c>
      <c r="G146" s="37" t="inlineStr">
        <is>
          <t>VO2 Bike 6x3min @ 283-320W / 3min easy</t>
        </is>
      </c>
      <c r="H146" s="28" t="inlineStr">
        <is>
          <t>Hard</t>
        </is>
      </c>
      <c r="I146" s="37" t="inlineStr">
        <is>
          <t>Lat + lower-back decompression, 10 min</t>
        </is>
      </c>
      <c r="J146" s="37" t="inlineStr">
        <is>
          <t>5 min gratitude journaling</t>
        </is>
      </c>
      <c r="K146" s="37" t="inlineStr">
        <is>
          <t>Hotel: DB row + bench dips. No gym: doorway rows, band pulldown, diamond push-ups.</t>
        </is>
      </c>
      <c r="L146" s="37" t="inlineStr">
        <is>
          <t>Accumulation. Pulls 4x6 at RPE 7 (2-3 RIR). Fully recover between VO2 reps so you hit the watts every interval.</t>
        </is>
      </c>
      <c r="M146" s="45" t="n"/>
      <c r="N146" s="45" t="n"/>
      <c r="O146" s="46" t="n"/>
    </row>
    <row r="147" ht="50" customHeight="1">
      <c r="A147" s="28" t="n">
        <v>143</v>
      </c>
      <c r="B147" s="28" t="n">
        <v>21</v>
      </c>
      <c r="C147" s="43" t="n">
        <v>46337</v>
      </c>
      <c r="D147" s="28" t="inlineStr">
        <is>
          <t>Wednesday</t>
        </is>
      </c>
      <c r="E147" s="44" t="inlineStr">
        <is>
          <t>Legs Volume</t>
        </is>
      </c>
      <c r="F147" s="37" t="inlineStr">
        <is>
          <t>Back squat 4x6. Leg press, Walking lunge, Leg curl, Calf raise 3x8-10.</t>
        </is>
      </c>
      <c r="G147" s="37" t="inlineStr">
        <is>
          <t>Easy Run 55 min conversational (Zone 2)</t>
        </is>
      </c>
      <c r="H147" s="28" t="inlineStr">
        <is>
          <t>Easy</t>
        </is>
      </c>
      <c r="I147" s="37" t="inlineStr">
        <is>
          <t>Hip flexor + ankle mobility, 10 min</t>
        </is>
      </c>
      <c r="J147" s="37" t="inlineStr">
        <is>
          <t>5 min body scan</t>
        </is>
      </c>
      <c r="K147" s="37" t="inlineStr">
        <is>
          <t>Hotel: goblet squat + DB lunge. No gym: Bulgarian split squat, step-ups, tempo squats.</t>
        </is>
      </c>
      <c r="L147" s="37" t="inlineStr">
        <is>
          <t>Accumulation. Squat 4x6 at RPE 7 (2-3 RIR), accessories 3x8-10. Keep the run genuinely easy to aid leg recovery.</t>
        </is>
      </c>
      <c r="M147" s="45" t="n"/>
      <c r="N147" s="45" t="n"/>
      <c r="O147" s="46" t="n"/>
    </row>
    <row r="148" ht="50" customHeight="1">
      <c r="A148" s="28" t="n">
        <v>144</v>
      </c>
      <c r="B148" s="28" t="n">
        <v>21</v>
      </c>
      <c r="C148" s="43" t="n">
        <v>46338</v>
      </c>
      <c r="D148" s="28" t="inlineStr">
        <is>
          <t>Thursday</t>
        </is>
      </c>
      <c r="E148" s="44" t="inlineStr">
        <is>
          <t>Shoulders</t>
        </is>
      </c>
      <c r="F148" s="37" t="inlineStr">
        <is>
          <t>Overhead press 4x6. DB lateral raise, Rear-delt fly, Upright row, Shrug 3x8-10.</t>
        </is>
      </c>
      <c r="G148" s="37" t="inlineStr">
        <is>
          <t>Threshold Cycle 2x10min @ 242-280W</t>
        </is>
      </c>
      <c r="H148" s="28" t="inlineStr">
        <is>
          <t>Hard</t>
        </is>
      </c>
      <c r="I148" s="37" t="inlineStr">
        <is>
          <t>Shoulder CARs + band dislocates, 10 min</t>
        </is>
      </c>
      <c r="J148" s="37" t="inlineStr">
        <is>
          <t>5 min focus meditation</t>
        </is>
      </c>
      <c r="K148" s="37" t="inlineStr">
        <is>
          <t>Hotel: DB press + raises. No gym: pike push-ups, band laterals, backpack press.</t>
        </is>
      </c>
      <c r="L148" s="37" t="inlineStr">
        <is>
          <t>Accumulation. OHP 4x6 at RPE 7 (2-3 RIR); strict laterals. Threshold should feel 'comfortably hard', short phrases only.</t>
        </is>
      </c>
      <c r="M148" s="45" t="n"/>
      <c r="N148" s="45" t="n"/>
      <c r="O148" s="46" t="n"/>
    </row>
    <row r="149" ht="50" customHeight="1">
      <c r="A149" s="28" t="n">
        <v>145</v>
      </c>
      <c r="B149" s="28" t="n">
        <v>21</v>
      </c>
      <c r="C149" s="43" t="n">
        <v>46339</v>
      </c>
      <c r="D149" s="28" t="inlineStr">
        <is>
          <t>Friday</t>
        </is>
      </c>
      <c r="E149" s="44" t="inlineStr">
        <is>
          <t>Chest + Back Density</t>
        </is>
      </c>
      <c r="F149" s="37" t="inlineStr">
        <is>
          <t>Bench / row superset 4x6. Incline press, Chest-supported row, Cable fly, Lat pulldown 3x8-10.</t>
        </is>
      </c>
      <c r="G149" s="37" t="inlineStr">
        <is>
          <t>Hybrid 3 rounds: 40m carry + 12 burpees + 20 lunges</t>
        </is>
      </c>
      <c r="H149" s="28" t="inlineStr">
        <is>
          <t>Moderate</t>
        </is>
      </c>
      <c r="I149" s="37" t="inlineStr">
        <is>
          <t>Full upper-body flush, 10 min</t>
        </is>
      </c>
      <c r="J149" s="37" t="inlineStr">
        <is>
          <t>5 min intention setting</t>
        </is>
      </c>
      <c r="K149" s="37" t="inlineStr">
        <is>
          <t>Hotel: DB density supersets. No gym: push-up/row ladders + loaded carries with bags.</t>
        </is>
      </c>
      <c r="L149" s="37" t="inlineStr">
        <is>
          <t>Accumulation. Minimise rest, chase the pump at RPE 7 (2-3 RIR). Hybrid finisher: carries, burpees, lunges — no rower.</t>
        </is>
      </c>
      <c r="M149" s="45" t="n"/>
      <c r="N149" s="45" t="n"/>
      <c r="O149" s="46" t="n"/>
    </row>
    <row r="150" ht="50" customHeight="1">
      <c r="A150" s="28" t="n">
        <v>146</v>
      </c>
      <c r="B150" s="28" t="n">
        <v>21</v>
      </c>
      <c r="C150" s="43" t="n">
        <v>46340</v>
      </c>
      <c r="D150" s="28" t="inlineStr">
        <is>
          <t>Saturday</t>
        </is>
      </c>
      <c r="E150" s="44" t="inlineStr">
        <is>
          <t>Legs + Posterior Chain</t>
        </is>
      </c>
      <c r="F150" s="37" t="inlineStr">
        <is>
          <t>Deadlift / RDL 4x6. Front squat, Hip thrust, Nordic curl, Back extension 3x8-10.</t>
        </is>
      </c>
      <c r="G150" s="37" t="inlineStr">
        <is>
          <t>Long Ride 2h45 Zone 2 @ 149-200W</t>
        </is>
      </c>
      <c r="H150" s="28" t="inlineStr">
        <is>
          <t>Long</t>
        </is>
      </c>
      <c r="I150" s="37" t="inlineStr">
        <is>
          <t>Hamstring + glute release, 12 min</t>
        </is>
      </c>
      <c r="J150" s="37" t="inlineStr">
        <is>
          <t>10 min outdoor mindfulness</t>
        </is>
      </c>
      <c r="K150" s="37" t="inlineStr">
        <is>
          <t>Hotel: DB RDL + hip thrust. No gym: single-leg RDL, hip bridges, long Zone 2 ride/run.</t>
        </is>
      </c>
      <c r="L150" s="37" t="inlineStr">
        <is>
          <t>Accumulation. Heavy posterior chain 4x6 at RPE 7 (2-3 RIR). Fuel the long ride hourly to protect fat loss &amp; recovery.</t>
        </is>
      </c>
      <c r="M150" s="45" t="n"/>
      <c r="N150" s="45" t="n"/>
      <c r="O150" s="46" t="n"/>
    </row>
    <row r="151" ht="50" customHeight="1">
      <c r="A151" s="28" t="n">
        <v>147</v>
      </c>
      <c r="B151" s="28" t="n">
        <v>21</v>
      </c>
      <c r="C151" s="43" t="n">
        <v>46341</v>
      </c>
      <c r="D151" s="28" t="inlineStr">
        <is>
          <t>Sunday</t>
        </is>
      </c>
      <c r="E151" s="44" t="inlineStr">
        <is>
          <t>Arms + Core</t>
        </is>
      </c>
      <c r="F151" s="37" t="inlineStr">
        <is>
          <t>Barbell curl 4x6. Hammer curl, Skullcrusher, Rope pushdown, Hanging leg raise, Plank, Pallof press 3x8-10.</t>
        </is>
      </c>
      <c r="G151" s="37" t="inlineStr">
        <is>
          <t>Long Run 1h20 easy (Zone 2)</t>
        </is>
      </c>
      <c r="H151" s="28" t="inlineStr">
        <is>
          <t>Long</t>
        </is>
      </c>
      <c r="I151" s="37" t="inlineStr">
        <is>
          <t>Spine + hip flow, 12 min</t>
        </is>
      </c>
      <c r="J151" s="37" t="inlineStr">
        <is>
          <t>10 min reflection / week review</t>
        </is>
      </c>
      <c r="K151" s="37" t="inlineStr">
        <is>
          <t>Hotel: DB arms + core circuit. No gym: band curls, dips, planks, long easy run.</t>
        </is>
      </c>
      <c r="L151" s="37" t="inlineStr">
        <is>
          <t>Accumulation. Arms &amp; core at RPE 7 (2-3 RIR). Long run is 80% easy volume — keep it conversational. Log the week's wins.</t>
        </is>
      </c>
      <c r="M151" s="45" t="n"/>
      <c r="N151" s="45" t="n"/>
      <c r="O151" s="46" t="n"/>
    </row>
    <row r="152" ht="50" customHeight="1">
      <c r="A152" s="47" t="n">
        <v>148</v>
      </c>
      <c r="B152" s="47" t="n">
        <v>22</v>
      </c>
      <c r="C152" s="48" t="n">
        <v>46342</v>
      </c>
      <c r="D152" s="47" t="inlineStr">
        <is>
          <t>Monday</t>
        </is>
      </c>
      <c r="E152" s="49" t="inlineStr">
        <is>
          <t>Chest + Biceps</t>
        </is>
      </c>
      <c r="F152" s="50" t="inlineStr">
        <is>
          <t>Barbell bench press 5x5. Incline DB press, Weighted dip, Cable fly, EZ-bar curl, Incline DB curl, Cable curl 4x10-12.</t>
        </is>
      </c>
      <c r="G152" s="50" t="inlineStr">
        <is>
          <t>Zone 2 Cycle 1h05 @ 151-202W</t>
        </is>
      </c>
      <c r="H152" s="47" t="inlineStr">
        <is>
          <t>Easy</t>
        </is>
      </c>
      <c r="I152" s="50" t="inlineStr">
        <is>
          <t>Thoracic opener + pec stretch, 10 min</t>
        </is>
      </c>
      <c r="J152" s="50" t="inlineStr">
        <is>
          <t>5 min box breathing</t>
        </is>
      </c>
      <c r="K152" s="50" t="inlineStr">
        <is>
          <t>Hotel: DB press + DB curls. No gym: deep push-ups, band curls, slow tempo.</t>
        </is>
      </c>
      <c r="L152" s="50" t="inlineStr">
        <is>
          <t>Progression week. Bench 5x5 at RPE 7-8 (2 RIR); accessories 4x10-12. Cycle is true Zone 2 recovery — nose-breathing only.</t>
        </is>
      </c>
      <c r="M152" s="45" t="n"/>
      <c r="N152" s="45" t="n"/>
      <c r="O152" s="46" t="n"/>
    </row>
    <row r="153" ht="50" customHeight="1">
      <c r="A153" s="47" t="n">
        <v>149</v>
      </c>
      <c r="B153" s="47" t="n">
        <v>22</v>
      </c>
      <c r="C153" s="48" t="n">
        <v>46343</v>
      </c>
      <c r="D153" s="47" t="inlineStr">
        <is>
          <t>Tuesday</t>
        </is>
      </c>
      <c r="E153" s="49" t="inlineStr">
        <is>
          <t>Back + Triceps</t>
        </is>
      </c>
      <c r="F153" s="50" t="inlineStr">
        <is>
          <t>Weighted pull-up 5x5. Barbell row, Lat pulldown, Face pull, Close-grip bench, Rope pushdown, Overhead extension 4x10-12.</t>
        </is>
      </c>
      <c r="G153" s="50" t="inlineStr">
        <is>
          <t>VO2 Bike 6x3min @ 286-324W / 3min easy</t>
        </is>
      </c>
      <c r="H153" s="47" t="inlineStr">
        <is>
          <t>Hard</t>
        </is>
      </c>
      <c r="I153" s="50" t="inlineStr">
        <is>
          <t>Lat + lower-back decompression, 10 min</t>
        </is>
      </c>
      <c r="J153" s="50" t="inlineStr">
        <is>
          <t>5 min gratitude journaling</t>
        </is>
      </c>
      <c r="K153" s="50" t="inlineStr">
        <is>
          <t>Hotel: DB row + bench dips. No gym: doorway rows, band pulldown, diamond push-ups.</t>
        </is>
      </c>
      <c r="L153" s="50" t="inlineStr">
        <is>
          <t>Progression. Pulls 5x5 at RPE 7-8 (2 RIR). Fully recover between VO2 reps so you hit the watts every interval.</t>
        </is>
      </c>
      <c r="M153" s="45" t="n"/>
      <c r="N153" s="45" t="n"/>
      <c r="O153" s="46" t="n"/>
    </row>
    <row r="154" ht="50" customHeight="1">
      <c r="A154" s="47" t="n">
        <v>150</v>
      </c>
      <c r="B154" s="47" t="n">
        <v>22</v>
      </c>
      <c r="C154" s="48" t="n">
        <v>46344</v>
      </c>
      <c r="D154" s="47" t="inlineStr">
        <is>
          <t>Wednesday</t>
        </is>
      </c>
      <c r="E154" s="49" t="inlineStr">
        <is>
          <t>Legs Volume</t>
        </is>
      </c>
      <c r="F154" s="50" t="inlineStr">
        <is>
          <t>Back squat 5x5. Leg press, Walking lunge, Leg curl, Calf raise 4x10-12.</t>
        </is>
      </c>
      <c r="G154" s="50" t="inlineStr">
        <is>
          <t>Easy Run 55 min conversational (Zone 2)</t>
        </is>
      </c>
      <c r="H154" s="47" t="inlineStr">
        <is>
          <t>Easy</t>
        </is>
      </c>
      <c r="I154" s="50" t="inlineStr">
        <is>
          <t>Hip flexor + ankle mobility, 10 min</t>
        </is>
      </c>
      <c r="J154" s="50" t="inlineStr">
        <is>
          <t>5 min body scan</t>
        </is>
      </c>
      <c r="K154" s="50" t="inlineStr">
        <is>
          <t>Hotel: goblet squat + DB lunge. No gym: Bulgarian split squat, step-ups, tempo squats.</t>
        </is>
      </c>
      <c r="L154" s="50" t="inlineStr">
        <is>
          <t>Progression. Squat 5x5 at RPE 7-8 (2 RIR), accessories 4x10-12. Keep the run genuinely easy to aid leg recovery.</t>
        </is>
      </c>
      <c r="M154" s="45" t="n"/>
      <c r="N154" s="45" t="n"/>
      <c r="O154" s="46" t="n"/>
    </row>
    <row r="155" ht="50" customHeight="1">
      <c r="A155" s="47" t="n">
        <v>151</v>
      </c>
      <c r="B155" s="47" t="n">
        <v>22</v>
      </c>
      <c r="C155" s="48" t="n">
        <v>46345</v>
      </c>
      <c r="D155" s="47" t="inlineStr">
        <is>
          <t>Thursday</t>
        </is>
      </c>
      <c r="E155" s="49" t="inlineStr">
        <is>
          <t>Shoulders</t>
        </is>
      </c>
      <c r="F155" s="50" t="inlineStr">
        <is>
          <t>Overhead press 5x5. DB lateral raise, Rear-delt fly, Upright row, Shrug 4x10-12.</t>
        </is>
      </c>
      <c r="G155" s="50" t="inlineStr">
        <is>
          <t>Threshold Cycle 2x12min @ 245-283W</t>
        </is>
      </c>
      <c r="H155" s="47" t="inlineStr">
        <is>
          <t>Hard</t>
        </is>
      </c>
      <c r="I155" s="50" t="inlineStr">
        <is>
          <t>Shoulder CARs + band dislocates, 10 min</t>
        </is>
      </c>
      <c r="J155" s="50" t="inlineStr">
        <is>
          <t>5 min focus meditation</t>
        </is>
      </c>
      <c r="K155" s="50" t="inlineStr">
        <is>
          <t>Hotel: DB press + raises. No gym: pike push-ups, band laterals, backpack press.</t>
        </is>
      </c>
      <c r="L155" s="50" t="inlineStr">
        <is>
          <t>Progression. OHP 5x5 at RPE 7-8 (2 RIR); strict laterals. Threshold should feel 'comfortably hard', short phrases only.</t>
        </is>
      </c>
      <c r="M155" s="45" t="n"/>
      <c r="N155" s="45" t="n"/>
      <c r="O155" s="46" t="n"/>
    </row>
    <row r="156" ht="50" customHeight="1">
      <c r="A156" s="47" t="n">
        <v>152</v>
      </c>
      <c r="B156" s="47" t="n">
        <v>22</v>
      </c>
      <c r="C156" s="48" t="n">
        <v>46346</v>
      </c>
      <c r="D156" s="47" t="inlineStr">
        <is>
          <t>Friday</t>
        </is>
      </c>
      <c r="E156" s="49" t="inlineStr">
        <is>
          <t>Chest + Back Density</t>
        </is>
      </c>
      <c r="F156" s="50" t="inlineStr">
        <is>
          <t>Bench / row superset 5x5. Incline press, Chest-supported row, Cable fly, Lat pulldown 4x10-12.</t>
        </is>
      </c>
      <c r="G156" s="50" t="inlineStr">
        <is>
          <t>Hybrid 4 rounds: 40m carry + 12 burpees + 20 lunges</t>
        </is>
      </c>
      <c r="H156" s="47" t="inlineStr">
        <is>
          <t>Moderate</t>
        </is>
      </c>
      <c r="I156" s="50" t="inlineStr">
        <is>
          <t>Full upper-body flush, 10 min</t>
        </is>
      </c>
      <c r="J156" s="50" t="inlineStr">
        <is>
          <t>5 min intention setting</t>
        </is>
      </c>
      <c r="K156" s="50" t="inlineStr">
        <is>
          <t>Hotel: DB density supersets. No gym: push-up/row ladders + loaded carries with bags.</t>
        </is>
      </c>
      <c r="L156" s="50" t="inlineStr">
        <is>
          <t>Progression. Minimise rest, chase the pump at RPE 7-8 (2 RIR). Hybrid finisher: carries, burpees, lunges — no rower.</t>
        </is>
      </c>
      <c r="M156" s="45" t="n"/>
      <c r="N156" s="45" t="n"/>
      <c r="O156" s="46" t="n"/>
    </row>
    <row r="157" ht="50" customHeight="1">
      <c r="A157" s="47" t="n">
        <v>153</v>
      </c>
      <c r="B157" s="47" t="n">
        <v>22</v>
      </c>
      <c r="C157" s="48" t="n">
        <v>46347</v>
      </c>
      <c r="D157" s="47" t="inlineStr">
        <is>
          <t>Saturday</t>
        </is>
      </c>
      <c r="E157" s="49" t="inlineStr">
        <is>
          <t>Legs + Posterior Chain</t>
        </is>
      </c>
      <c r="F157" s="50" t="inlineStr">
        <is>
          <t>Deadlift / RDL 5x5. Front squat, Hip thrust, Nordic curl, Back extension 4x10-12.</t>
        </is>
      </c>
      <c r="G157" s="50" t="inlineStr">
        <is>
          <t>Long Ride 2h45 Zone 2 @ 151-202W</t>
        </is>
      </c>
      <c r="H157" s="47" t="inlineStr">
        <is>
          <t>Long</t>
        </is>
      </c>
      <c r="I157" s="50" t="inlineStr">
        <is>
          <t>Hamstring + glute release, 12 min</t>
        </is>
      </c>
      <c r="J157" s="50" t="inlineStr">
        <is>
          <t>10 min outdoor mindfulness</t>
        </is>
      </c>
      <c r="K157" s="50" t="inlineStr">
        <is>
          <t>Hotel: DB RDL + hip thrust. No gym: single-leg RDL, hip bridges, long Zone 2 ride/run.</t>
        </is>
      </c>
      <c r="L157" s="50" t="inlineStr">
        <is>
          <t>Progression. Heavy posterior chain 5x5 at RPE 7-8 (2 RIR). Fuel the long ride hourly to protect fat loss &amp; recovery.</t>
        </is>
      </c>
      <c r="M157" s="45" t="n"/>
      <c r="N157" s="45" t="n"/>
      <c r="O157" s="46" t="n"/>
    </row>
    <row r="158" ht="50" customHeight="1">
      <c r="A158" s="47" t="n">
        <v>154</v>
      </c>
      <c r="B158" s="47" t="n">
        <v>22</v>
      </c>
      <c r="C158" s="48" t="n">
        <v>46348</v>
      </c>
      <c r="D158" s="47" t="inlineStr">
        <is>
          <t>Sunday</t>
        </is>
      </c>
      <c r="E158" s="49" t="inlineStr">
        <is>
          <t>Arms + Core</t>
        </is>
      </c>
      <c r="F158" s="50" t="inlineStr">
        <is>
          <t>Barbell curl 5x5. Hammer curl, Skullcrusher, Rope pushdown, Hanging leg raise, Plank, Pallof press 4x10-12.</t>
        </is>
      </c>
      <c r="G158" s="50" t="inlineStr">
        <is>
          <t>Long Run 1h20 easy (Zone 2)</t>
        </is>
      </c>
      <c r="H158" s="47" t="inlineStr">
        <is>
          <t>Long</t>
        </is>
      </c>
      <c r="I158" s="50" t="inlineStr">
        <is>
          <t>Spine + hip flow, 12 min</t>
        </is>
      </c>
      <c r="J158" s="50" t="inlineStr">
        <is>
          <t>10 min reflection / week review</t>
        </is>
      </c>
      <c r="K158" s="50" t="inlineStr">
        <is>
          <t>Hotel: DB arms + core circuit. No gym: band curls, dips, planks, long easy run.</t>
        </is>
      </c>
      <c r="L158" s="50" t="inlineStr">
        <is>
          <t>Progression. Arms &amp; core at RPE 7-8 (2 RIR). Long run is 80% easy volume — keep it conversational. Log the week's wins.</t>
        </is>
      </c>
      <c r="M158" s="45" t="n"/>
      <c r="N158" s="45" t="n"/>
      <c r="O158" s="46" t="n"/>
    </row>
    <row r="159" ht="50" customHeight="1">
      <c r="A159" s="28" t="n">
        <v>155</v>
      </c>
      <c r="B159" s="28" t="n">
        <v>23</v>
      </c>
      <c r="C159" s="43" t="n">
        <v>46349</v>
      </c>
      <c r="D159" s="28" t="inlineStr">
        <is>
          <t>Monday</t>
        </is>
      </c>
      <c r="E159" s="44" t="inlineStr">
        <is>
          <t>Chest + Biceps</t>
        </is>
      </c>
      <c r="F159" s="37" t="inlineStr">
        <is>
          <t>Barbell bench press 5x5 (RPE8). Incline DB press, Weighted dip, Cable fly, EZ-bar curl, Incline DB curl, Cable curl 4x12-15.</t>
        </is>
      </c>
      <c r="G159" s="37" t="inlineStr">
        <is>
          <t>Zone 2 Cycle 1h15 @ 152-204W</t>
        </is>
      </c>
      <c r="H159" s="28" t="inlineStr">
        <is>
          <t>Easy</t>
        </is>
      </c>
      <c r="I159" s="37" t="inlineStr">
        <is>
          <t>Thoracic opener + pec stretch, 10 min</t>
        </is>
      </c>
      <c r="J159" s="37" t="inlineStr">
        <is>
          <t>5 min box breathing</t>
        </is>
      </c>
      <c r="K159" s="37" t="inlineStr">
        <is>
          <t>Hotel: DB press + DB curls. No gym: deep push-ups, band curls, slow tempo.</t>
        </is>
      </c>
      <c r="L159" s="37" t="inlineStr">
        <is>
          <t>Peak Volume week. Bench 5x5 (RPE8) at RPE 8 (1-2 RIR); accessories 4x12-15. Cycle is true Zone 2 recovery — nose-breathing only.</t>
        </is>
      </c>
      <c r="M159" s="45" t="n"/>
      <c r="N159" s="45" t="n"/>
      <c r="O159" s="46" t="n"/>
    </row>
    <row r="160" ht="50" customHeight="1">
      <c r="A160" s="28" t="n">
        <v>156</v>
      </c>
      <c r="B160" s="28" t="n">
        <v>23</v>
      </c>
      <c r="C160" s="43" t="n">
        <v>46350</v>
      </c>
      <c r="D160" s="28" t="inlineStr">
        <is>
          <t>Tuesday</t>
        </is>
      </c>
      <c r="E160" s="44" t="inlineStr">
        <is>
          <t>Back + Triceps</t>
        </is>
      </c>
      <c r="F160" s="37" t="inlineStr">
        <is>
          <t>Weighted pull-up 5x5 (RPE8). Barbell row, Lat pulldown, Face pull, Close-grip bench, Rope pushdown, Overhead extension 4x12-15.</t>
        </is>
      </c>
      <c r="G160" s="37" t="inlineStr">
        <is>
          <t>VO2 Bike 6x3min @ 288-326W / 3min easy</t>
        </is>
      </c>
      <c r="H160" s="28" t="inlineStr">
        <is>
          <t>Hard</t>
        </is>
      </c>
      <c r="I160" s="37" t="inlineStr">
        <is>
          <t>Lat + lower-back decompression, 10 min</t>
        </is>
      </c>
      <c r="J160" s="37" t="inlineStr">
        <is>
          <t>5 min gratitude journaling</t>
        </is>
      </c>
      <c r="K160" s="37" t="inlineStr">
        <is>
          <t>Hotel: DB row + bench dips. No gym: doorway rows, band pulldown, diamond push-ups.</t>
        </is>
      </c>
      <c r="L160" s="37" t="inlineStr">
        <is>
          <t>Peak Volume. Pulls 5x5 (RPE8) at RPE 8 (1-2 RIR). Fully recover between VO2 reps so you hit the watts every interval.</t>
        </is>
      </c>
      <c r="M160" s="45" t="n"/>
      <c r="N160" s="45" t="n"/>
      <c r="O160" s="46" t="n"/>
    </row>
    <row r="161" ht="50" customHeight="1">
      <c r="A161" s="28" t="n">
        <v>157</v>
      </c>
      <c r="B161" s="28" t="n">
        <v>23</v>
      </c>
      <c r="C161" s="43" t="n">
        <v>46351</v>
      </c>
      <c r="D161" s="28" t="inlineStr">
        <is>
          <t>Wednesday</t>
        </is>
      </c>
      <c r="E161" s="44" t="inlineStr">
        <is>
          <t>Legs Volume</t>
        </is>
      </c>
      <c r="F161" s="37" t="inlineStr">
        <is>
          <t>Back squat 5x5 (RPE8). Leg press, Walking lunge, Leg curl, Calf raise 4x12-15.</t>
        </is>
      </c>
      <c r="G161" s="37" t="inlineStr">
        <is>
          <t>Easy Run 1h00 conversational (Zone 2)</t>
        </is>
      </c>
      <c r="H161" s="28" t="inlineStr">
        <is>
          <t>Easy</t>
        </is>
      </c>
      <c r="I161" s="37" t="inlineStr">
        <is>
          <t>Hip flexor + ankle mobility, 10 min</t>
        </is>
      </c>
      <c r="J161" s="37" t="inlineStr">
        <is>
          <t>5 min body scan</t>
        </is>
      </c>
      <c r="K161" s="37" t="inlineStr">
        <is>
          <t>Hotel: goblet squat + DB lunge. No gym: Bulgarian split squat, step-ups, tempo squats.</t>
        </is>
      </c>
      <c r="L161" s="37" t="inlineStr">
        <is>
          <t>Peak Volume. Squat 5x5 (RPE8) at RPE 8 (1-2 RIR), accessories 4x12-15. Keep the run genuinely easy to aid leg recovery.</t>
        </is>
      </c>
      <c r="M161" s="45" t="n"/>
      <c r="N161" s="45" t="n"/>
      <c r="O161" s="46" t="n"/>
    </row>
    <row r="162" ht="50" customHeight="1">
      <c r="A162" s="28" t="n">
        <v>158</v>
      </c>
      <c r="B162" s="28" t="n">
        <v>23</v>
      </c>
      <c r="C162" s="43" t="n">
        <v>46352</v>
      </c>
      <c r="D162" s="28" t="inlineStr">
        <is>
          <t>Thursday</t>
        </is>
      </c>
      <c r="E162" s="44" t="inlineStr">
        <is>
          <t>Shoulders</t>
        </is>
      </c>
      <c r="F162" s="37" t="inlineStr">
        <is>
          <t>Overhead press 5x5 (RPE8). DB lateral raise, Rear-delt fly, Upright row, Shrug 4x12-15.</t>
        </is>
      </c>
      <c r="G162" s="37" t="inlineStr">
        <is>
          <t>Threshold Cycle 3x12min @ 247-285W</t>
        </is>
      </c>
      <c r="H162" s="28" t="inlineStr">
        <is>
          <t>Hard</t>
        </is>
      </c>
      <c r="I162" s="37" t="inlineStr">
        <is>
          <t>Shoulder CARs + band dislocates, 10 min</t>
        </is>
      </c>
      <c r="J162" s="37" t="inlineStr">
        <is>
          <t>5 min focus meditation</t>
        </is>
      </c>
      <c r="K162" s="37" t="inlineStr">
        <is>
          <t>Hotel: DB press + raises. No gym: pike push-ups, band laterals, backpack press.</t>
        </is>
      </c>
      <c r="L162" s="37" t="inlineStr">
        <is>
          <t>Peak Volume. OHP 5x5 (RPE8) at RPE 8 (1-2 RIR); strict laterals. Threshold should feel 'comfortably hard', short phrases only.</t>
        </is>
      </c>
      <c r="M162" s="45" t="n"/>
      <c r="N162" s="45" t="n"/>
      <c r="O162" s="46" t="n"/>
    </row>
    <row r="163" ht="50" customHeight="1">
      <c r="A163" s="28" t="n">
        <v>159</v>
      </c>
      <c r="B163" s="28" t="n">
        <v>23</v>
      </c>
      <c r="C163" s="43" t="n">
        <v>46353</v>
      </c>
      <c r="D163" s="28" t="inlineStr">
        <is>
          <t>Friday</t>
        </is>
      </c>
      <c r="E163" s="44" t="inlineStr">
        <is>
          <t>Chest + Back Density</t>
        </is>
      </c>
      <c r="F163" s="37" t="inlineStr">
        <is>
          <t>Bench / row superset 5x5 (RPE8). Incline press, Chest-supported row, Cable fly, Lat pulldown 4x12-15.</t>
        </is>
      </c>
      <c r="G163" s="37" t="inlineStr">
        <is>
          <t>Hybrid 5 rounds: 40m carry + 12 burpees + 20 lunges</t>
        </is>
      </c>
      <c r="H163" s="28" t="inlineStr">
        <is>
          <t>Moderate</t>
        </is>
      </c>
      <c r="I163" s="37" t="inlineStr">
        <is>
          <t>Full upper-body flush, 10 min</t>
        </is>
      </c>
      <c r="J163" s="37" t="inlineStr">
        <is>
          <t>5 min intention setting</t>
        </is>
      </c>
      <c r="K163" s="37" t="inlineStr">
        <is>
          <t>Hotel: DB density supersets. No gym: push-up/row ladders + loaded carries with bags.</t>
        </is>
      </c>
      <c r="L163" s="37" t="inlineStr">
        <is>
          <t>Peak Volume. Minimise rest, chase the pump at RPE 8 (1-2 RIR). Hybrid finisher: carries, burpees, lunges — no rower.</t>
        </is>
      </c>
      <c r="M163" s="45" t="n"/>
      <c r="N163" s="45" t="n"/>
      <c r="O163" s="46" t="n"/>
    </row>
    <row r="164" ht="50" customHeight="1">
      <c r="A164" s="28" t="n">
        <v>160</v>
      </c>
      <c r="B164" s="28" t="n">
        <v>23</v>
      </c>
      <c r="C164" s="43" t="n">
        <v>46354</v>
      </c>
      <c r="D164" s="28" t="inlineStr">
        <is>
          <t>Saturday</t>
        </is>
      </c>
      <c r="E164" s="44" t="inlineStr">
        <is>
          <t>Legs + Posterior Chain</t>
        </is>
      </c>
      <c r="F164" s="37" t="inlineStr">
        <is>
          <t>Deadlift / RDL 5x5 (RPE8). Front squat, Hip thrust, Nordic curl, Back extension 4x12-15.</t>
        </is>
      </c>
      <c r="G164" s="37" t="inlineStr">
        <is>
          <t>Long Ride 3h00 Zone 2 @ 152-204W</t>
        </is>
      </c>
      <c r="H164" s="28" t="inlineStr">
        <is>
          <t>Long</t>
        </is>
      </c>
      <c r="I164" s="37" t="inlineStr">
        <is>
          <t>Hamstring + glute release, 12 min</t>
        </is>
      </c>
      <c r="J164" s="37" t="inlineStr">
        <is>
          <t>10 min outdoor mindfulness</t>
        </is>
      </c>
      <c r="K164" s="37" t="inlineStr">
        <is>
          <t>Hotel: DB RDL + hip thrust. No gym: single-leg RDL, hip bridges, long Zone 2 ride/run.</t>
        </is>
      </c>
      <c r="L164" s="37" t="inlineStr">
        <is>
          <t>Peak Volume. Heavy posterior chain 5x5 (RPE8) at RPE 8 (1-2 RIR). Fuel the long ride hourly to protect fat loss &amp; recovery.</t>
        </is>
      </c>
      <c r="M164" s="45" t="n"/>
      <c r="N164" s="45" t="n"/>
      <c r="O164" s="46" t="n"/>
    </row>
    <row r="165" ht="50" customHeight="1">
      <c r="A165" s="28" t="n">
        <v>161</v>
      </c>
      <c r="B165" s="28" t="n">
        <v>23</v>
      </c>
      <c r="C165" s="43" t="n">
        <v>46355</v>
      </c>
      <c r="D165" s="28" t="inlineStr">
        <is>
          <t>Sunday</t>
        </is>
      </c>
      <c r="E165" s="44" t="inlineStr">
        <is>
          <t>Arms + Core</t>
        </is>
      </c>
      <c r="F165" s="37" t="inlineStr">
        <is>
          <t>Barbell curl 5x5 (RPE8). Hammer curl, Skullcrusher, Rope pushdown, Hanging leg raise, Plank, Pallof press 4x12-15.</t>
        </is>
      </c>
      <c r="G165" s="37" t="inlineStr">
        <is>
          <t>Long Run 1h28 easy (Zone 2)</t>
        </is>
      </c>
      <c r="H165" s="28" t="inlineStr">
        <is>
          <t>Long</t>
        </is>
      </c>
      <c r="I165" s="37" t="inlineStr">
        <is>
          <t>Spine + hip flow, 12 min</t>
        </is>
      </c>
      <c r="J165" s="37" t="inlineStr">
        <is>
          <t>10 min reflection / week review</t>
        </is>
      </c>
      <c r="K165" s="37" t="inlineStr">
        <is>
          <t>Hotel: DB arms + core circuit. No gym: band curls, dips, planks, long easy run.</t>
        </is>
      </c>
      <c r="L165" s="37" t="inlineStr">
        <is>
          <t>Peak Volume. Arms &amp; core at RPE 8 (1-2 RIR). Long run is 80% easy volume — keep it conversational. Log the week's wins.</t>
        </is>
      </c>
      <c r="M165" s="45" t="n"/>
      <c r="N165" s="45" t="n"/>
      <c r="O165" s="46" t="n"/>
    </row>
    <row r="166" ht="50" customHeight="1">
      <c r="A166" s="47" t="n">
        <v>162</v>
      </c>
      <c r="B166" s="47" t="n">
        <v>24</v>
      </c>
      <c r="C166" s="48" t="n">
        <v>46356</v>
      </c>
      <c r="D166" s="47" t="inlineStr">
        <is>
          <t>Monday</t>
        </is>
      </c>
      <c r="E166" s="49" t="inlineStr">
        <is>
          <t>Chest + Biceps</t>
        </is>
      </c>
      <c r="F166" s="50" t="inlineStr">
        <is>
          <t>DELOAD — Barbell bench press 3x5 light. Incline DB press, Weighted dip, Cable fly, EZ-bar curl, Incline DB curl, Cable curl 2x8 (-40% vol).</t>
        </is>
      </c>
      <c r="G166" s="50" t="inlineStr">
        <is>
          <t>Zone 2 Cycle 30 min @ 154-206W</t>
        </is>
      </c>
      <c r="H166" s="47" t="inlineStr">
        <is>
          <t>Easy</t>
        </is>
      </c>
      <c r="I166" s="50" t="inlineStr">
        <is>
          <t>Thoracic opener + pec stretch, 10 min</t>
        </is>
      </c>
      <c r="J166" s="50" t="inlineStr">
        <is>
          <t>5 min box breathing</t>
        </is>
      </c>
      <c r="K166" s="50" t="inlineStr">
        <is>
          <t>Hotel: DB press + DB curls. No gym: deep push-ups, band curls, slow tempo.</t>
        </is>
      </c>
      <c r="L166" s="50" t="inlineStr">
        <is>
          <t>Deload week. Bench 3x5 light at RPE 5-6 (deload); accessories 2x8 (-40% vol). Cycle is true Zone 2 recovery — nose-breathing only.</t>
        </is>
      </c>
      <c r="M166" s="45" t="n"/>
      <c r="N166" s="45" t="n"/>
      <c r="O166" s="46" t="n"/>
    </row>
    <row r="167" ht="50" customHeight="1">
      <c r="A167" s="47" t="n">
        <v>163</v>
      </c>
      <c r="B167" s="47" t="n">
        <v>24</v>
      </c>
      <c r="C167" s="48" t="n">
        <v>46357</v>
      </c>
      <c r="D167" s="47" t="inlineStr">
        <is>
          <t>Tuesday</t>
        </is>
      </c>
      <c r="E167" s="49" t="inlineStr">
        <is>
          <t>Back + Triceps</t>
        </is>
      </c>
      <c r="F167" s="50" t="inlineStr">
        <is>
          <t>DELOAD — Weighted pull-up 3x5 light. Barbell row, Lat pulldown, Face pull, Close-grip bench, Rope pushdown, Overhead extension 2x8 (-40% vol).</t>
        </is>
      </c>
      <c r="G167" s="50" t="inlineStr">
        <is>
          <t>VO2 Bike 3x3min @ 291-330W / 3min easy</t>
        </is>
      </c>
      <c r="H167" s="47" t="inlineStr">
        <is>
          <t>Moderate</t>
        </is>
      </c>
      <c r="I167" s="50" t="inlineStr">
        <is>
          <t>Lat + lower-back decompression, 10 min</t>
        </is>
      </c>
      <c r="J167" s="50" t="inlineStr">
        <is>
          <t>5 min gratitude journaling</t>
        </is>
      </c>
      <c r="K167" s="50" t="inlineStr">
        <is>
          <t>Hotel: DB row + bench dips. No gym: doorway rows, band pulldown, diamond push-ups.</t>
        </is>
      </c>
      <c r="L167" s="50" t="inlineStr">
        <is>
          <t>Deload. Pulls 3x5 light at RPE 5-6 (deload). Fully recover between VO2 reps so you hit the watts every interval.</t>
        </is>
      </c>
      <c r="M167" s="45" t="n"/>
      <c r="N167" s="45" t="n"/>
      <c r="O167" s="46" t="n"/>
    </row>
    <row r="168" ht="50" customHeight="1">
      <c r="A168" s="47" t="n">
        <v>164</v>
      </c>
      <c r="B168" s="47" t="n">
        <v>24</v>
      </c>
      <c r="C168" s="48" t="n">
        <v>46358</v>
      </c>
      <c r="D168" s="47" t="inlineStr">
        <is>
          <t>Wednesday</t>
        </is>
      </c>
      <c r="E168" s="49" t="inlineStr">
        <is>
          <t>Legs Volume</t>
        </is>
      </c>
      <c r="F168" s="50" t="inlineStr">
        <is>
          <t>DELOAD — Back squat 3x5 light. Leg press, Walking lunge, Leg curl, Calf raise 2x8 (-40% vol).</t>
        </is>
      </c>
      <c r="G168" s="50" t="inlineStr">
        <is>
          <t>Easy Run 25 min conversational (Zone 2)</t>
        </is>
      </c>
      <c r="H168" s="47" t="inlineStr">
        <is>
          <t>Easy</t>
        </is>
      </c>
      <c r="I168" s="50" t="inlineStr">
        <is>
          <t>Hip flexor + ankle mobility, 10 min</t>
        </is>
      </c>
      <c r="J168" s="50" t="inlineStr">
        <is>
          <t>5 min body scan</t>
        </is>
      </c>
      <c r="K168" s="50" t="inlineStr">
        <is>
          <t>Hotel: goblet squat + DB lunge. No gym: Bulgarian split squat, step-ups, tempo squats.</t>
        </is>
      </c>
      <c r="L168" s="50" t="inlineStr">
        <is>
          <t>Deload. Squat 3x5 light at RPE 5-6 (deload), accessories 2x8 (-40% vol). Keep the run genuinely easy to aid leg recovery.</t>
        </is>
      </c>
      <c r="M168" s="45" t="n"/>
      <c r="N168" s="45" t="n"/>
      <c r="O168" s="46" t="n"/>
    </row>
    <row r="169" ht="50" customHeight="1">
      <c r="A169" s="47" t="n">
        <v>165</v>
      </c>
      <c r="B169" s="47" t="n">
        <v>24</v>
      </c>
      <c r="C169" s="48" t="n">
        <v>46359</v>
      </c>
      <c r="D169" s="47" t="inlineStr">
        <is>
          <t>Thursday</t>
        </is>
      </c>
      <c r="E169" s="49" t="inlineStr">
        <is>
          <t>Shoulders</t>
        </is>
      </c>
      <c r="F169" s="50" t="inlineStr">
        <is>
          <t>DELOAD — Overhead press 3x5 light. DB lateral raise, Rear-delt fly, Upright row, Shrug 2x8 (-40% vol).</t>
        </is>
      </c>
      <c r="G169" s="50" t="inlineStr">
        <is>
          <t>Threshold Cycle 2x8min @ 250-288W</t>
        </is>
      </c>
      <c r="H169" s="47" t="inlineStr">
        <is>
          <t>Moderate</t>
        </is>
      </c>
      <c r="I169" s="50" t="inlineStr">
        <is>
          <t>Shoulder CARs + band dislocates, 10 min</t>
        </is>
      </c>
      <c r="J169" s="50" t="inlineStr">
        <is>
          <t>5 min focus meditation</t>
        </is>
      </c>
      <c r="K169" s="50" t="inlineStr">
        <is>
          <t>Hotel: DB press + raises. No gym: pike push-ups, band laterals, backpack press.</t>
        </is>
      </c>
      <c r="L169" s="50" t="inlineStr">
        <is>
          <t>Deload. OHP 3x5 light at RPE 5-6 (deload); strict laterals. Threshold should feel 'comfortably hard', short phrases only.</t>
        </is>
      </c>
      <c r="M169" s="45" t="n"/>
      <c r="N169" s="45" t="n"/>
      <c r="O169" s="46" t="n"/>
    </row>
    <row r="170" ht="50" customHeight="1">
      <c r="A170" s="47" t="n">
        <v>166</v>
      </c>
      <c r="B170" s="47" t="n">
        <v>24</v>
      </c>
      <c r="C170" s="48" t="n">
        <v>46360</v>
      </c>
      <c r="D170" s="47" t="inlineStr">
        <is>
          <t>Friday</t>
        </is>
      </c>
      <c r="E170" s="49" t="inlineStr">
        <is>
          <t>Chest + Back Density</t>
        </is>
      </c>
      <c r="F170" s="50" t="inlineStr">
        <is>
          <t>DELOAD — Bench / row superset 3x5 light. Incline press, Chest-supported row, Cable fly, Lat pulldown 2x8 (-40% vol).</t>
        </is>
      </c>
      <c r="G170" s="50" t="inlineStr">
        <is>
          <t>Hybrid 3 rounds: 40m carry + 12 burpees + 20 lunges</t>
        </is>
      </c>
      <c r="H170" s="47" t="inlineStr">
        <is>
          <t>Moderate</t>
        </is>
      </c>
      <c r="I170" s="50" t="inlineStr">
        <is>
          <t>Full upper-body flush, 10 min</t>
        </is>
      </c>
      <c r="J170" s="50" t="inlineStr">
        <is>
          <t>5 min intention setting</t>
        </is>
      </c>
      <c r="K170" s="50" t="inlineStr">
        <is>
          <t>Hotel: DB density supersets. No gym: push-up/row ladders + loaded carries with bags.</t>
        </is>
      </c>
      <c r="L170" s="50" t="inlineStr">
        <is>
          <t>Deload. Minimise rest, chase the pump at RPE 5-6 (deload). Hybrid finisher: carries, burpees, lunges — no rower.</t>
        </is>
      </c>
      <c r="M170" s="45" t="n"/>
      <c r="N170" s="45" t="n"/>
      <c r="O170" s="46" t="n"/>
    </row>
    <row r="171" ht="50" customHeight="1">
      <c r="A171" s="47" t="n">
        <v>167</v>
      </c>
      <c r="B171" s="47" t="n">
        <v>24</v>
      </c>
      <c r="C171" s="48" t="n">
        <v>46361</v>
      </c>
      <c r="D171" s="47" t="inlineStr">
        <is>
          <t>Saturday</t>
        </is>
      </c>
      <c r="E171" s="49" t="inlineStr">
        <is>
          <t>Legs + Posterior Chain</t>
        </is>
      </c>
      <c r="F171" s="50" t="inlineStr">
        <is>
          <t>DELOAD — Deadlift / RDL 3x5 light. Front squat, Hip thrust, Nordic curl, Back extension 2x8 (-40% vol).</t>
        </is>
      </c>
      <c r="G171" s="50" t="inlineStr">
        <is>
          <t>Long Ride 1h45 Zone 2 @ 154-206W</t>
        </is>
      </c>
      <c r="H171" s="47" t="inlineStr">
        <is>
          <t>Long</t>
        </is>
      </c>
      <c r="I171" s="50" t="inlineStr">
        <is>
          <t>Hamstring + glute release, 12 min</t>
        </is>
      </c>
      <c r="J171" s="50" t="inlineStr">
        <is>
          <t>10 min outdoor mindfulness</t>
        </is>
      </c>
      <c r="K171" s="50" t="inlineStr">
        <is>
          <t>Hotel: DB RDL + hip thrust. No gym: single-leg RDL, hip bridges, long Zone 2 ride/run.</t>
        </is>
      </c>
      <c r="L171" s="50" t="inlineStr">
        <is>
          <t>Deload. Heavy posterior chain 3x5 light at RPE 5-6 (deload). Fuel the long ride hourly to protect fat loss &amp; recovery.</t>
        </is>
      </c>
      <c r="M171" s="45" t="n"/>
      <c r="N171" s="45" t="n"/>
      <c r="O171" s="46" t="n"/>
    </row>
    <row r="172" ht="50" customHeight="1">
      <c r="A172" s="47" t="n">
        <v>168</v>
      </c>
      <c r="B172" s="47" t="n">
        <v>24</v>
      </c>
      <c r="C172" s="48" t="n">
        <v>46362</v>
      </c>
      <c r="D172" s="47" t="inlineStr">
        <is>
          <t>Sunday</t>
        </is>
      </c>
      <c r="E172" s="49" t="inlineStr">
        <is>
          <t>Arms + Core</t>
        </is>
      </c>
      <c r="F172" s="50" t="inlineStr">
        <is>
          <t>DELOAD — Barbell curl 3x5 light. Hammer curl, Skullcrusher, Rope pushdown, Hanging leg raise, Plank, Pallof press 2x8 (-40% vol).</t>
        </is>
      </c>
      <c r="G172" s="50" t="inlineStr">
        <is>
          <t>Long Run 35 min easy (Zone 2)</t>
        </is>
      </c>
      <c r="H172" s="47" t="inlineStr">
        <is>
          <t>Long</t>
        </is>
      </c>
      <c r="I172" s="50" t="inlineStr">
        <is>
          <t>Spine + hip flow, 12 min</t>
        </is>
      </c>
      <c r="J172" s="50" t="inlineStr">
        <is>
          <t>10 min reflection / week review</t>
        </is>
      </c>
      <c r="K172" s="50" t="inlineStr">
        <is>
          <t>Hotel: DB arms + core circuit. No gym: band curls, dips, planks, long easy run.</t>
        </is>
      </c>
      <c r="L172" s="50" t="inlineStr">
        <is>
          <t>Deload. Arms &amp; core at RPE 5-6 (deload). Long run is 80% easy volume — keep it conversational. Log the week's wins.</t>
        </is>
      </c>
      <c r="M172" s="45" t="n"/>
      <c r="N172" s="45" t="n"/>
      <c r="O172" s="46" t="n"/>
    </row>
    <row r="173" ht="50" customHeight="1">
      <c r="A173" s="28" t="n">
        <v>169</v>
      </c>
      <c r="B173" s="28" t="n">
        <v>25</v>
      </c>
      <c r="C173" s="43" t="n">
        <v>46363</v>
      </c>
      <c r="D173" s="28" t="inlineStr">
        <is>
          <t>Monday</t>
        </is>
      </c>
      <c r="E173" s="44" t="inlineStr">
        <is>
          <t>Chest + Biceps</t>
        </is>
      </c>
      <c r="F173" s="37" t="inlineStr">
        <is>
          <t>TAPER — Barbell bench press 3x4 (sharp). Incline DB press, Weighted dip, Cable fly, EZ-bar curl, Incline DB curl, Cable curl 2x8 light.</t>
        </is>
      </c>
      <c r="G173" s="37" t="inlineStr">
        <is>
          <t>Zone 2 Cycle 30 min @ 154-206W</t>
        </is>
      </c>
      <c r="H173" s="28" t="inlineStr">
        <is>
          <t>Easy</t>
        </is>
      </c>
      <c r="I173" s="37" t="inlineStr">
        <is>
          <t>Thoracic opener + pec stretch, 10 min</t>
        </is>
      </c>
      <c r="J173" s="37" t="inlineStr">
        <is>
          <t>5 min box breathing</t>
        </is>
      </c>
      <c r="K173" s="37" t="inlineStr">
        <is>
          <t>Hotel: DB press + DB curls. No gym: deep push-ups, band curls, slow tempo.</t>
        </is>
      </c>
      <c r="L173" s="37" t="inlineStr">
        <is>
          <t>Taper week — sharpen and rest. Cut volume ~30%, keep a little intensity, prioritise sleep &amp; mobility. Arrive at test week fresh and primed.</t>
        </is>
      </c>
      <c r="M173" s="45" t="n"/>
      <c r="N173" s="45" t="n"/>
      <c r="O173" s="46" t="n"/>
    </row>
    <row r="174" ht="50" customHeight="1">
      <c r="A174" s="28" t="n">
        <v>170</v>
      </c>
      <c r="B174" s="28" t="n">
        <v>25</v>
      </c>
      <c r="C174" s="43" t="n">
        <v>46364</v>
      </c>
      <c r="D174" s="28" t="inlineStr">
        <is>
          <t>Tuesday</t>
        </is>
      </c>
      <c r="E174" s="44" t="inlineStr">
        <is>
          <t>Back + Triceps</t>
        </is>
      </c>
      <c r="F174" s="37" t="inlineStr">
        <is>
          <t>TAPER — Weighted pull-up 3x4 (sharp). Barbell row, Lat pulldown, Face pull, Close-grip bench, Rope pushdown, Overhead extension 2x8 light.</t>
        </is>
      </c>
      <c r="G174" s="37" t="inlineStr">
        <is>
          <t>VO2 Bike 3x2min @ 291-330W (sharpen)</t>
        </is>
      </c>
      <c r="H174" s="28" t="inlineStr">
        <is>
          <t>Moderate</t>
        </is>
      </c>
      <c r="I174" s="37" t="inlineStr">
        <is>
          <t>Lat + lower-back decompression, 10 min</t>
        </is>
      </c>
      <c r="J174" s="37" t="inlineStr">
        <is>
          <t>5 min gratitude journaling</t>
        </is>
      </c>
      <c r="K174" s="37" t="inlineStr">
        <is>
          <t>Hotel: DB row + bench dips. No gym: doorway rows, band pulldown, diamond push-ups.</t>
        </is>
      </c>
      <c r="L174" s="37" t="inlineStr">
        <is>
          <t>Taper week — sharpen and rest. Cut volume ~30%, keep a little intensity, prioritise sleep &amp; mobility. Arrive at test week fresh and primed.</t>
        </is>
      </c>
      <c r="M174" s="45" t="n"/>
      <c r="N174" s="45" t="n"/>
      <c r="O174" s="46" t="n"/>
    </row>
    <row r="175" ht="50" customHeight="1">
      <c r="A175" s="28" t="n">
        <v>171</v>
      </c>
      <c r="B175" s="28" t="n">
        <v>25</v>
      </c>
      <c r="C175" s="43" t="n">
        <v>46365</v>
      </c>
      <c r="D175" s="28" t="inlineStr">
        <is>
          <t>Wednesday</t>
        </is>
      </c>
      <c r="E175" s="44" t="inlineStr">
        <is>
          <t>Legs Volume</t>
        </is>
      </c>
      <c r="F175" s="37" t="inlineStr">
        <is>
          <t>TAPER — Back squat 3x4 (sharp). Leg press, Walking lunge, Leg curl, Calf raise 2x8 light.</t>
        </is>
      </c>
      <c r="G175" s="37" t="inlineStr">
        <is>
          <t>Easy Run 25 min conversational (Zone 2)</t>
        </is>
      </c>
      <c r="H175" s="28" t="inlineStr">
        <is>
          <t>Easy</t>
        </is>
      </c>
      <c r="I175" s="37" t="inlineStr">
        <is>
          <t>Hip flexor + ankle mobility, 10 min</t>
        </is>
      </c>
      <c r="J175" s="37" t="inlineStr">
        <is>
          <t>5 min body scan</t>
        </is>
      </c>
      <c r="K175" s="37" t="inlineStr">
        <is>
          <t>Hotel: goblet squat + DB lunge. No gym: Bulgarian split squat, step-ups, tempo squats.</t>
        </is>
      </c>
      <c r="L175" s="37" t="inlineStr">
        <is>
          <t>Taper week — sharpen and rest. Cut volume ~30%, keep a little intensity, prioritise sleep &amp; mobility. Arrive at test week fresh and primed.</t>
        </is>
      </c>
      <c r="M175" s="45" t="n"/>
      <c r="N175" s="45" t="n"/>
      <c r="O175" s="46" t="n"/>
    </row>
    <row r="176" ht="50" customHeight="1">
      <c r="A176" s="28" t="n">
        <v>172</v>
      </c>
      <c r="B176" s="28" t="n">
        <v>25</v>
      </c>
      <c r="C176" s="43" t="n">
        <v>46366</v>
      </c>
      <c r="D176" s="28" t="inlineStr">
        <is>
          <t>Thursday</t>
        </is>
      </c>
      <c r="E176" s="44" t="inlineStr">
        <is>
          <t>Shoulders</t>
        </is>
      </c>
      <c r="F176" s="37" t="inlineStr">
        <is>
          <t>TAPER — Overhead press 3x4 (sharp). DB lateral raise, Rear-delt fly, Upright row, Shrug 2x8 light.</t>
        </is>
      </c>
      <c r="G176" s="37" t="inlineStr">
        <is>
          <t>Threshold Cycle 2x6min @ 250-288W (sharpen)</t>
        </is>
      </c>
      <c r="H176" s="28" t="inlineStr">
        <is>
          <t>Moderate</t>
        </is>
      </c>
      <c r="I176" s="37" t="inlineStr">
        <is>
          <t>Shoulder CARs + band dislocates, 10 min</t>
        </is>
      </c>
      <c r="J176" s="37" t="inlineStr">
        <is>
          <t>5 min focus meditation</t>
        </is>
      </c>
      <c r="K176" s="37" t="inlineStr">
        <is>
          <t>Hotel: DB press + raises. No gym: pike push-ups, band laterals, backpack press.</t>
        </is>
      </c>
      <c r="L176" s="37" t="inlineStr">
        <is>
          <t>Taper week — sharpen and rest. Cut volume ~30%, keep a little intensity, prioritise sleep &amp; mobility. Arrive at test week fresh and primed.</t>
        </is>
      </c>
      <c r="M176" s="45" t="n"/>
      <c r="N176" s="45" t="n"/>
      <c r="O176" s="46" t="n"/>
    </row>
    <row r="177" ht="50" customHeight="1">
      <c r="A177" s="28" t="n">
        <v>173</v>
      </c>
      <c r="B177" s="28" t="n">
        <v>25</v>
      </c>
      <c r="C177" s="43" t="n">
        <v>46367</v>
      </c>
      <c r="D177" s="28" t="inlineStr">
        <is>
          <t>Friday</t>
        </is>
      </c>
      <c r="E177" s="44" t="inlineStr">
        <is>
          <t>Chest + Back Density</t>
        </is>
      </c>
      <c r="F177" s="37" t="inlineStr">
        <is>
          <t>TAPER — Bench / row superset 3x4 (sharp). Incline press, Chest-supported row, Cable fly, Lat pulldown 2x8 light.</t>
        </is>
      </c>
      <c r="G177" s="37" t="inlineStr">
        <is>
          <t>Hybrid 2 rounds (sharpen): 40m carry + 8 burpees + 12 lunges</t>
        </is>
      </c>
      <c r="H177" s="28" t="inlineStr">
        <is>
          <t>Easy</t>
        </is>
      </c>
      <c r="I177" s="37" t="inlineStr">
        <is>
          <t>Full upper-body flush, 10 min</t>
        </is>
      </c>
      <c r="J177" s="37" t="inlineStr">
        <is>
          <t>5 min intention setting</t>
        </is>
      </c>
      <c r="K177" s="37" t="inlineStr">
        <is>
          <t>Hotel: DB density supersets. No gym: push-up/row ladders + loaded carries with bags.</t>
        </is>
      </c>
      <c r="L177" s="37" t="inlineStr">
        <is>
          <t>Taper week — sharpen and rest. Cut volume ~30%, keep a little intensity, prioritise sleep &amp; mobility. Arrive at test week fresh and primed.</t>
        </is>
      </c>
      <c r="M177" s="45" t="n"/>
      <c r="N177" s="45" t="n"/>
      <c r="O177" s="46" t="n"/>
    </row>
    <row r="178" ht="50" customHeight="1">
      <c r="A178" s="28" t="n">
        <v>174</v>
      </c>
      <c r="B178" s="28" t="n">
        <v>25</v>
      </c>
      <c r="C178" s="43" t="n">
        <v>46368</v>
      </c>
      <c r="D178" s="28" t="inlineStr">
        <is>
          <t>Saturday</t>
        </is>
      </c>
      <c r="E178" s="44" t="inlineStr">
        <is>
          <t>Legs + Posterior Chain</t>
        </is>
      </c>
      <c r="F178" s="37" t="inlineStr">
        <is>
          <t>TAPER — Deadlift / RDL 3x4 (sharp). Front squat, Hip thrust, Nordic curl, Back extension 2x8 light.</t>
        </is>
      </c>
      <c r="G178" s="37" t="inlineStr">
        <is>
          <t>Long Ride 60 min Zone 2 @ 154-206W</t>
        </is>
      </c>
      <c r="H178" s="28" t="inlineStr">
        <is>
          <t>Moderate</t>
        </is>
      </c>
      <c r="I178" s="37" t="inlineStr">
        <is>
          <t>Hamstring + glute release, 12 min</t>
        </is>
      </c>
      <c r="J178" s="37" t="inlineStr">
        <is>
          <t>10 min outdoor mindfulness</t>
        </is>
      </c>
      <c r="K178" s="37" t="inlineStr">
        <is>
          <t>Hotel: DB RDL + hip thrust. No gym: single-leg RDL, hip bridges, long Zone 2 ride/run.</t>
        </is>
      </c>
      <c r="L178" s="37" t="inlineStr">
        <is>
          <t>Taper week — sharpen and rest. Cut volume ~30%, keep a little intensity, prioritise sleep &amp; mobility. Arrive at test week fresh and primed.</t>
        </is>
      </c>
      <c r="M178" s="45" t="n"/>
      <c r="N178" s="45" t="n"/>
      <c r="O178" s="46" t="n"/>
    </row>
    <row r="179" ht="50" customHeight="1">
      <c r="A179" s="28" t="n">
        <v>175</v>
      </c>
      <c r="B179" s="28" t="n">
        <v>25</v>
      </c>
      <c r="C179" s="43" t="n">
        <v>46369</v>
      </c>
      <c r="D179" s="28" t="inlineStr">
        <is>
          <t>Sunday</t>
        </is>
      </c>
      <c r="E179" s="44" t="inlineStr">
        <is>
          <t>Arms + Core</t>
        </is>
      </c>
      <c r="F179" s="37" t="inlineStr">
        <is>
          <t>TAPER — Barbell curl 3x4 (sharp). Hammer curl, Skullcrusher, Rope pushdown, Hanging leg raise, Plank, Pallof press 2x8 light.</t>
        </is>
      </c>
      <c r="G179" s="37" t="inlineStr">
        <is>
          <t>Long Run 30 min easy (Zone 2)</t>
        </is>
      </c>
      <c r="H179" s="28" t="inlineStr">
        <is>
          <t>Easy</t>
        </is>
      </c>
      <c r="I179" s="37" t="inlineStr">
        <is>
          <t>Spine + hip flow, 12 min</t>
        </is>
      </c>
      <c r="J179" s="37" t="inlineStr">
        <is>
          <t>10 min reflection / week review</t>
        </is>
      </c>
      <c r="K179" s="37" t="inlineStr">
        <is>
          <t>Hotel: DB arms + core circuit. No gym: band curls, dips, planks, long easy run.</t>
        </is>
      </c>
      <c r="L179" s="37" t="inlineStr">
        <is>
          <t>Taper week — sharpen and rest. Cut volume ~30%, keep a little intensity, prioritise sleep &amp; mobility. Arrive at test week fresh and primed.</t>
        </is>
      </c>
      <c r="M179" s="45" t="n"/>
      <c r="N179" s="45" t="n"/>
      <c r="O179" s="46" t="n"/>
    </row>
    <row r="180" ht="50" customHeight="1">
      <c r="A180" s="47" t="n">
        <v>176</v>
      </c>
      <c r="B180" s="47" t="n">
        <v>26</v>
      </c>
      <c r="C180" s="48" t="n">
        <v>46370</v>
      </c>
      <c r="D180" s="47" t="inlineStr">
        <is>
          <t>Monday</t>
        </is>
      </c>
      <c r="E180" s="49" t="inlineStr">
        <is>
          <t>Chest + Biceps</t>
        </is>
      </c>
      <c r="F180" s="50" t="inlineStr">
        <is>
          <t>TEST — Bench press: warm up, work to a heavy 3-5 rep max. Confirm 105kg+. Light arms 2x12 after.</t>
        </is>
      </c>
      <c r="G180" s="50" t="inlineStr">
        <is>
          <t>Easy spin 20 min — open the legs</t>
        </is>
      </c>
      <c r="H180" s="47" t="inlineStr">
        <is>
          <t>Easy</t>
        </is>
      </c>
      <c r="I180" s="50" t="inlineStr">
        <is>
          <t>Thoracic opener + pec stretch, 10 min</t>
        </is>
      </c>
      <c r="J180" s="50" t="inlineStr">
        <is>
          <t>5 min box breathing</t>
        </is>
      </c>
      <c r="K180" s="50" t="inlineStr">
        <is>
          <t>Hotel: DB press + DB curls. No gym: deep push-ups, band curls, slow tempo.</t>
        </is>
      </c>
      <c r="L180" s="50" t="inlineStr">
        <is>
          <t>Bench test — work to a heavy triple, confirm you've held 105kg+. Easy spin to open the legs.</t>
        </is>
      </c>
      <c r="M180" s="45" t="n"/>
      <c r="N180" s="45" t="n"/>
      <c r="O180" s="46" t="n"/>
    </row>
    <row r="181" ht="50" customHeight="1">
      <c r="A181" s="47" t="n">
        <v>177</v>
      </c>
      <c r="B181" s="47" t="n">
        <v>26</v>
      </c>
      <c r="C181" s="48" t="n">
        <v>46371</v>
      </c>
      <c r="D181" s="47" t="inlineStr">
        <is>
          <t>Tuesday</t>
        </is>
      </c>
      <c r="E181" s="49" t="inlineStr">
        <is>
          <t>Back + Triceps</t>
        </is>
      </c>
      <c r="F181" s="50" t="inlineStr">
        <is>
          <t>Easy technical pulls 2x8 + mobility. Stay fresh for tomorrow's squat test.</t>
        </is>
      </c>
      <c r="G181" s="50" t="inlineStr">
        <is>
          <t>Optional 15 min easy spin</t>
        </is>
      </c>
      <c r="H181" s="47" t="inlineStr">
        <is>
          <t>Easy</t>
        </is>
      </c>
      <c r="I181" s="50" t="inlineStr">
        <is>
          <t>Lat + lower-back decompression, 10 min</t>
        </is>
      </c>
      <c r="J181" s="50" t="inlineStr">
        <is>
          <t>5 min gratitude journaling</t>
        </is>
      </c>
      <c r="K181" s="50" t="inlineStr">
        <is>
          <t>Hotel: DB row + bench dips. No gym: doorway rows, band pulldown, diamond push-ups.</t>
        </is>
      </c>
      <c r="L181" s="50" t="inlineStr">
        <is>
          <t>Recovery &amp; prep. Easy technical pulls only; stay fresh for the squat test tomorrow.</t>
        </is>
      </c>
      <c r="M181" s="45" t="n"/>
      <c r="N181" s="45" t="n"/>
      <c r="O181" s="46" t="n"/>
    </row>
    <row r="182" ht="50" customHeight="1">
      <c r="A182" s="47" t="n">
        <v>178</v>
      </c>
      <c r="B182" s="47" t="n">
        <v>26</v>
      </c>
      <c r="C182" s="48" t="n">
        <v>46372</v>
      </c>
      <c r="D182" s="47" t="inlineStr">
        <is>
          <t>Wednesday</t>
        </is>
      </c>
      <c r="E182" s="49" t="inlineStr">
        <is>
          <t>Legs Volume</t>
        </is>
      </c>
      <c r="F182" s="50" t="inlineStr">
        <is>
          <t>TEST — Back squat: work to a heavy 3-5 rep max. Confirm 140kg+. Light accessories only.</t>
        </is>
      </c>
      <c r="G182" s="50" t="inlineStr">
        <is>
          <t>Easy 20 min shakeout jog</t>
        </is>
      </c>
      <c r="H182" s="47" t="inlineStr">
        <is>
          <t>Easy</t>
        </is>
      </c>
      <c r="I182" s="50" t="inlineStr">
        <is>
          <t>Hip flexor + ankle mobility, 10 min</t>
        </is>
      </c>
      <c r="J182" s="50" t="inlineStr">
        <is>
          <t>5 min body scan</t>
        </is>
      </c>
      <c r="K182" s="50" t="inlineStr">
        <is>
          <t>Hotel: goblet squat + DB lunge. No gym: Bulgarian split squat, step-ups, tempo squats.</t>
        </is>
      </c>
      <c r="L182" s="50" t="inlineStr">
        <is>
          <t>Squat test — heavy triple, confirm 140kg+ maintained. Easy shakeout jog only.</t>
        </is>
      </c>
      <c r="M182" s="45" t="n"/>
      <c r="N182" s="45" t="n"/>
      <c r="O182" s="46" t="n"/>
    </row>
    <row r="183" ht="50" customHeight="1">
      <c r="A183" s="47" t="n">
        <v>179</v>
      </c>
      <c r="B183" s="47" t="n">
        <v>26</v>
      </c>
      <c r="C183" s="48" t="n">
        <v>46373</v>
      </c>
      <c r="D183" s="47" t="inlineStr">
        <is>
          <t>Thursday</t>
        </is>
      </c>
      <c r="E183" s="49" t="inlineStr">
        <is>
          <t>Shoulders</t>
        </is>
      </c>
      <c r="F183" s="50" t="inlineStr">
        <is>
          <t>Easy press 2x8 + shoulder mobility. Keep totally fresh for the weekend.</t>
        </is>
      </c>
      <c r="G183" s="50" t="inlineStr">
        <is>
          <t>Easy spin 20 min + 3x1min openers</t>
        </is>
      </c>
      <c r="H183" s="47" t="inlineStr">
        <is>
          <t>Easy</t>
        </is>
      </c>
      <c r="I183" s="50" t="inlineStr">
        <is>
          <t>Shoulder CARs + band dislocates, 10 min</t>
        </is>
      </c>
      <c r="J183" s="50" t="inlineStr">
        <is>
          <t>5 min focus meditation</t>
        </is>
      </c>
      <c r="K183" s="50" t="inlineStr">
        <is>
          <t>Hotel: DB press + raises. No gym: pike push-ups, band laterals, backpack press.</t>
        </is>
      </c>
      <c r="L183" s="50" t="inlineStr">
        <is>
          <t>Stay fresh: easy press, mobility, big sleep. FTP test is in two days.</t>
        </is>
      </c>
      <c r="M183" s="45" t="n"/>
      <c r="N183" s="45" t="n"/>
      <c r="O183" s="46" t="n"/>
    </row>
    <row r="184" ht="50" customHeight="1">
      <c r="A184" s="47" t="n">
        <v>180</v>
      </c>
      <c r="B184" s="47" t="n">
        <v>26</v>
      </c>
      <c r="C184" s="48" t="n">
        <v>46374</v>
      </c>
      <c r="D184" s="47" t="inlineStr">
        <is>
          <t>Friday</t>
        </is>
      </c>
      <c r="E184" s="49" t="inlineStr">
        <is>
          <t>Chest + Back Density</t>
        </is>
      </c>
      <c r="F184" s="50" t="inlineStr">
        <is>
          <t>Light full-body flush 2x10. No conditioning grind — prime for the FTP &amp; 5km tests.</t>
        </is>
      </c>
      <c r="G184" s="50" t="inlineStr">
        <is>
          <t>Rest / 20 min mobility walk</t>
        </is>
      </c>
      <c r="H184" s="47" t="inlineStr">
        <is>
          <t>Easy</t>
        </is>
      </c>
      <c r="I184" s="50" t="inlineStr">
        <is>
          <t>Full upper-body flush, 10 min</t>
        </is>
      </c>
      <c r="J184" s="50" t="inlineStr">
        <is>
          <t>5 min intention setting</t>
        </is>
      </c>
      <c r="K184" s="50" t="inlineStr">
        <is>
          <t>Hotel: DB density supersets. No gym: push-up/row ladders + loaded carries with bags.</t>
        </is>
      </c>
      <c r="L184" s="50" t="inlineStr">
        <is>
          <t>Rest day in all but name. Light flush + walk. Fuel well for the weekend tests.</t>
        </is>
      </c>
      <c r="M184" s="45" t="n"/>
      <c r="N184" s="45" t="n"/>
      <c r="O184" s="46" t="n"/>
    </row>
    <row r="185" ht="50" customHeight="1">
      <c r="A185" s="47" t="n">
        <v>181</v>
      </c>
      <c r="B185" s="47" t="n">
        <v>26</v>
      </c>
      <c r="C185" s="48" t="n">
        <v>46375</v>
      </c>
      <c r="D185" s="47" t="inlineStr">
        <is>
          <t>Saturday</t>
        </is>
      </c>
      <c r="E185" s="49" t="inlineStr">
        <is>
          <t>Legs + Posterior Chain</t>
        </is>
      </c>
      <c r="F185" s="50" t="inlineStr">
        <is>
          <t>Movement prep only — the FTP test is today's session (see Endurance).</t>
        </is>
      </c>
      <c r="G185" s="50" t="inlineStr">
        <is>
          <t>FTP TEST: warm up, then 20-min max effort -&gt; new FTP = 95% of avg power. Target 275W+</t>
        </is>
      </c>
      <c r="H185" s="47" t="inlineStr">
        <is>
          <t>Test</t>
        </is>
      </c>
      <c r="I185" s="50" t="inlineStr">
        <is>
          <t>Hamstring + glute release, 12 min</t>
        </is>
      </c>
      <c r="J185" s="50" t="inlineStr">
        <is>
          <t>10 min outdoor mindfulness</t>
        </is>
      </c>
      <c r="K185" s="50" t="inlineStr">
        <is>
          <t>Hotel: DB RDL + hip thrust. No gym: single-leg RDL, hip bridges, long Zone 2 ride/run.</t>
        </is>
      </c>
      <c r="L185" s="50" t="inlineStr">
        <is>
          <t>FTP TEST: thorough warm-up, then a 20-min max effort. New FTP = 95% of avg power. Target 275W+.</t>
        </is>
      </c>
      <c r="M185" s="45" t="n"/>
      <c r="N185" s="45" t="n"/>
      <c r="O185" s="46" t="n"/>
    </row>
    <row r="186" ht="50" customHeight="1">
      <c r="A186" s="47" t="n">
        <v>182</v>
      </c>
      <c r="B186" s="47" t="n">
        <v>26</v>
      </c>
      <c r="C186" s="48" t="n">
        <v>46376</v>
      </c>
      <c r="D186" s="47" t="inlineStr">
        <is>
          <t>Sunday</t>
        </is>
      </c>
      <c r="E186" s="49" t="inlineStr">
        <is>
          <t>Arms + Core</t>
        </is>
      </c>
      <c r="F186" s="50" t="inlineStr">
        <is>
          <t>Light arms/core 2x12 — the 5km time-trial is today's session (see Endurance).</t>
        </is>
      </c>
      <c r="G186" s="50" t="inlineStr">
        <is>
          <t>5KM TIME-TRIAL: even pace, target 25:00-27:00. The headline test.</t>
        </is>
      </c>
      <c r="H186" s="47" t="inlineStr">
        <is>
          <t>Test</t>
        </is>
      </c>
      <c r="I186" s="50" t="inlineStr">
        <is>
          <t>Spine + hip flow, 12 min</t>
        </is>
      </c>
      <c r="J186" s="50" t="inlineStr">
        <is>
          <t>10 min reflection / week review</t>
        </is>
      </c>
      <c r="K186" s="50" t="inlineStr">
        <is>
          <t>Hotel: DB arms + core circuit. No gym: band curls, dips, planks, long easy run.</t>
        </is>
      </c>
      <c r="L186" s="50" t="inlineStr">
        <is>
          <t>5KM TIME-TRIAL: even pacing, empty the tank. Target sub-27. Log your PBs and celebrate the build.</t>
        </is>
      </c>
      <c r="M186" s="45" t="n"/>
      <c r="N186" s="45" t="n"/>
      <c r="O186" s="46" t="n"/>
    </row>
  </sheetData>
  <mergeCells count="2">
    <mergeCell ref="A1:O1"/>
    <mergeCell ref="A2:O2"/>
  </mergeCells>
  <conditionalFormatting sqref="H5:H186">
    <cfRule type="cellIs" priority="1" operator="equal" dxfId="2">
      <formula>"Hard"</formula>
    </cfRule>
    <cfRule type="cellIs" priority="2" operator="equal" dxfId="3">
      <formula>"Moderate"</formula>
    </cfRule>
    <cfRule type="cellIs" priority="3" operator="equal" dxfId="4">
      <formula>"Easy"</formula>
    </cfRule>
    <cfRule type="cellIs" priority="4" operator="equal" dxfId="5">
      <formula>"Long"</formula>
    </cfRule>
    <cfRule type="cellIs" priority="5" operator="equal" dxfId="6">
      <formula>"Test"</formula>
    </cfRule>
  </conditionalFormatting>
  <conditionalFormatting sqref="M5:M186">
    <cfRule type="cellIs" priority="6" operator="equal" dxfId="0">
      <formula>"Yes"</formula>
    </cfRule>
    <cfRule type="cellIs" priority="7" operator="equal" dxfId="1">
      <formula>"No"</formula>
    </cfRule>
    <cfRule type="cellIs" priority="8" operator="equal" dxfId="7">
      <formula>"Partial"</formula>
    </cfRule>
    <cfRule type="cellIs" priority="9" operator="equal" dxfId="5">
      <formula>"Travel Alt"</formula>
    </cfRule>
  </conditionalFormatting>
  <dataValidations count="2">
    <dataValidation sqref="M5:M186" showDropDown="0" showInputMessage="0" showErrorMessage="0" allowBlank="1" type="list">
      <formula1>"Yes,No,Partial,Travel Alt"</formula1>
    </dataValidation>
    <dataValidation sqref="N5:N186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E7C7B"/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30" customWidth="1" min="5" max="5"/>
    <col width="16" customWidth="1" min="6" max="6"/>
    <col width="34" customWidth="1" min="7" max="7"/>
    <col width="30" customWidth="1" min="8" max="8"/>
    <col width="34" customWidth="1" min="9" max="9"/>
  </cols>
  <sheetData>
    <row r="1" ht="34" customHeight="1">
      <c r="A1" s="1" t="inlineStr">
        <is>
          <t>WORKOUT BRIEFS</t>
        </is>
      </c>
    </row>
    <row r="2" ht="20" customHeight="1">
      <c r="A2" s="2" t="inlineStr">
        <is>
          <t>The 'why' behind each training day — objective, adaptation, main work, overload, RPE, swaps.</t>
        </is>
      </c>
    </row>
    <row r="4" ht="30" customHeight="1">
      <c r="A4" s="5" t="inlineStr">
        <is>
          <t>Day</t>
        </is>
      </c>
      <c r="B4" s="5" t="inlineStr">
        <is>
          <t>Objective</t>
        </is>
      </c>
      <c r="C4" s="5" t="inlineStr">
        <is>
          <t>Adaptation Target</t>
        </is>
      </c>
      <c r="D4" s="5" t="inlineStr">
        <is>
          <t>Main Work</t>
        </is>
      </c>
      <c r="E4" s="5" t="inlineStr">
        <is>
          <t>Overload Strategy</t>
        </is>
      </c>
      <c r="F4" s="5" t="inlineStr">
        <is>
          <t>RPE</t>
        </is>
      </c>
      <c r="G4" s="5" t="inlineStr">
        <is>
          <t>Travel Alternative</t>
        </is>
      </c>
      <c r="H4" s="5" t="inlineStr">
        <is>
          <t>No-Gym Alternative</t>
        </is>
      </c>
      <c r="I4" s="5" t="inlineStr">
        <is>
          <t>Coaching Notes</t>
        </is>
      </c>
    </row>
    <row r="5" ht="92" customHeight="1">
      <c r="A5" s="44" t="inlineStr">
        <is>
          <t>Mon — Chest + Biceps + Zone 2</t>
        </is>
      </c>
      <c r="B5" s="37" t="inlineStr">
        <is>
          <t>Build pressing strength &amp; arm size while flushing legs with easy aerobic work.</t>
        </is>
      </c>
      <c r="C5" s="37" t="inlineStr">
        <is>
          <t>Pec &amp; bicep hypertrophy; mitochondrial density (Zone 2).</t>
        </is>
      </c>
      <c r="D5" s="37" t="inlineStr">
        <is>
          <t>Bench, incline DB press, weighted dips, cable fly; EZ curl, incline curl, cable curl. Zone 2 ride 40-60 min.</t>
        </is>
      </c>
      <c r="E5" s="37" t="inlineStr">
        <is>
          <t>Add load on bench when 4x6 completed at RPE7; add a set to curls in Week 2.</t>
        </is>
      </c>
      <c r="F5" s="37" t="inlineStr">
        <is>
          <t>RPE 7-8 lifts; Zone 2 nose-breathing</t>
        </is>
      </c>
      <c r="G5" s="37" t="inlineStr">
        <is>
          <t>Hotel gym: DB bench + DB curls, same sets.</t>
        </is>
      </c>
      <c r="H5" s="37" t="inlineStr">
        <is>
          <t>Deep deficit push-ups, band curls, slow 4-sec tempo; brisk Zone 2 walk/jog.</t>
        </is>
      </c>
      <c r="I5" s="37" t="inlineStr">
        <is>
          <t>Keep cycle truly easy — it is recovery + base, not a second hard day.</t>
        </is>
      </c>
    </row>
    <row r="6" ht="92" customHeight="1">
      <c r="A6" s="49" t="inlineStr">
        <is>
          <t>Tue — Back + Triceps + VO2 Bike</t>
        </is>
      </c>
      <c r="B6" s="50" t="inlineStr">
        <is>
          <t>Develop vertical &amp; horizontal pulling and drive VO2 max with bike intervals.</t>
        </is>
      </c>
      <c r="C6" s="50" t="inlineStr">
        <is>
          <t>Lat/upper-back hypertrophy; VO2 max &amp; anaerobic power.</t>
        </is>
      </c>
      <c r="D6" s="50" t="inlineStr">
        <is>
          <t>Weighted pull-ups, barbell row, pulldown, face pull; CG bench, pushdown, OH extension. VO2: 5-6x3min @ 106-120% FTP / 3min easy.</t>
        </is>
      </c>
      <c r="E6" s="50" t="inlineStr">
        <is>
          <t>Progress pull-up load or reps; shorten interval recoveries in Peak week.</t>
        </is>
      </c>
      <c r="F6" s="50" t="inlineStr">
        <is>
          <t>RPE 8 on lifts; intervals 9/10 hard</t>
        </is>
      </c>
      <c r="G6" s="50" t="inlineStr">
        <is>
          <t>Hotel gym: DB row + bench dips; bike intervals on any stationary bike.</t>
        </is>
      </c>
      <c r="H6" s="50" t="inlineStr">
        <is>
          <t>Doorway/band rows, diamond push-ups; hill sprint repeats for VO2 stimulus.</t>
        </is>
      </c>
      <c r="I6" s="50" t="inlineStr">
        <is>
          <t>Fully recover between VO2 reps so you can hit the watts each interval.</t>
        </is>
      </c>
    </row>
    <row r="7" ht="92" customHeight="1">
      <c r="A7" s="44" t="inlineStr">
        <is>
          <t>Wed — Legs Volume + Easy Run</t>
        </is>
      </c>
      <c r="B7" s="37" t="inlineStr">
        <is>
          <t>Accumulate leg volume for size &amp; work capacity; aerobic run to aid recovery.</t>
        </is>
      </c>
      <c r="C7" s="37" t="inlineStr">
        <is>
          <t>Quad/glute hypertrophy; aerobic base &amp; running economy.</t>
        </is>
      </c>
      <c r="D7" s="37" t="inlineStr">
        <is>
          <t>Back squat, leg press, walking lunge, leg curl, calf raise (3-4 sets). Easy run 30-50 min conversational.</t>
        </is>
      </c>
      <c r="E7" s="37" t="inlineStr">
        <is>
          <t>Add reps before load on squat; build run duration 5 min/week.</t>
        </is>
      </c>
      <c r="F7" s="37" t="inlineStr">
        <is>
          <t>RPE 7 lifts; run Zone 2 easy</t>
        </is>
      </c>
      <c r="G7" s="37" t="inlineStr">
        <is>
          <t>Hotel gym: goblet squat, DB lunge, leg curl machine.</t>
        </is>
      </c>
      <c r="H7" s="37" t="inlineStr">
        <is>
          <t>Bulgarian split squat, step-ups, tempo squats; easy outdoor run.</t>
        </is>
      </c>
      <c r="I7" s="37" t="inlineStr">
        <is>
          <t>If legs are smoked, drop run to brisk walk — never skip the easy aerobic stimulus.</t>
        </is>
      </c>
    </row>
    <row r="8" ht="92" customHeight="1">
      <c r="A8" s="49" t="inlineStr">
        <is>
          <t>Thu — Shoulders + Threshold Cycle</t>
        </is>
      </c>
      <c r="B8" s="50" t="inlineStr">
        <is>
          <t>Build round, strong shoulders; raise functional threshold power.</t>
        </is>
      </c>
      <c r="C8" s="50" t="inlineStr">
        <is>
          <t>Deltoid hypertrophy; lactate threshold / FTP.</t>
        </is>
      </c>
      <c r="D8" s="50" t="inlineStr">
        <is>
          <t>OHP, lateral raise, rear-delt fly, upright row, shrugs. Threshold: 2-3x10-15min @ 91-105% FTP.</t>
        </is>
      </c>
      <c r="E8" s="50" t="inlineStr">
        <is>
          <t>Add load to OHP; extend threshold blocks by 2-3 min as fitness rises.</t>
        </is>
      </c>
      <c r="F8" s="50" t="inlineStr">
        <is>
          <t>RPE 8 lifts; threshold 'comfortably hard'</t>
        </is>
      </c>
      <c r="G8" s="50" t="inlineStr">
        <is>
          <t>Hotel gym: DB press + raises; threshold on stationary bike.</t>
        </is>
      </c>
      <c r="H8" s="50" t="inlineStr">
        <is>
          <t>Pike push-ups, band laterals, backpack press; sustained hill tempo on foot.</t>
        </is>
      </c>
      <c r="I8" s="50" t="inlineStr">
        <is>
          <t>Threshold should feel hard but controlled — you could speak only in short phrases.</t>
        </is>
      </c>
    </row>
    <row r="9" ht="92" customHeight="1">
      <c r="A9" s="44" t="inlineStr">
        <is>
          <t>Fri — Chest + Back Density + Hybrid</t>
        </is>
      </c>
      <c r="B9" s="37" t="inlineStr">
        <is>
          <t>Pack in pressing &amp; pulling density, then finish with hybrid conditioning.</t>
        </is>
      </c>
      <c r="C9" s="37" t="inlineStr">
        <is>
          <t>Upper-body hypertrophy via density; work capacity &amp; grip.</t>
        </is>
      </c>
      <c r="D9" s="37" t="inlineStr">
        <is>
          <t>Bench/row supersets, incline press, chest-supported row, fly + pulldown. Finisher: carries, burpees, lunges 12-15 min.</t>
        </is>
      </c>
      <c r="E9" s="37" t="inlineStr">
        <is>
          <t>Cut rest periods week to week; add rounds to the hybrid finisher.</t>
        </is>
      </c>
      <c r="F9" s="37" t="inlineStr">
        <is>
          <t>RPE 8 density; finisher 'sustainably hard'</t>
        </is>
      </c>
      <c r="G9" s="37" t="inlineStr">
        <is>
          <t>Hotel gym: DB density supersets + DB carries.</t>
        </is>
      </c>
      <c r="H9" s="37" t="inlineStr">
        <is>
          <t>Push-up/row ladders, loaded-bag carries, burpees, walking lunges.</t>
        </is>
      </c>
      <c r="I9" s="37" t="inlineStr">
        <is>
          <t>No rower — use carries, burpees and lunges for the conditioning stimulus.</t>
        </is>
      </c>
    </row>
    <row r="10" ht="92" customHeight="1">
      <c r="A10" s="49" t="inlineStr">
        <is>
          <t>Sat — Legs + Posterior Chain + Long Ride</t>
        </is>
      </c>
      <c r="B10" s="50" t="inlineStr">
        <is>
          <t>Train the posterior chain heavy, then build aerobic endurance on the bike.</t>
        </is>
      </c>
      <c r="C10" s="50" t="inlineStr">
        <is>
          <t>Hamstring/glute/back strength; aerobic endurance &amp; fat oxidation.</t>
        </is>
      </c>
      <c r="D10" s="50" t="inlineStr">
        <is>
          <t>Deadlift/RDL, front squat, hip thrust, Nordic curl, back extension. Long ride Zone 2, build to 2-3h.</t>
        </is>
      </c>
      <c r="E10" s="50" t="inlineStr">
        <is>
          <t>Add load on deadlift in Progression; add 15-20 min to long ride weekly.</t>
        </is>
      </c>
      <c r="F10" s="50" t="inlineStr">
        <is>
          <t>RPE 7-8 lifts; ride Zone 2 endurance</t>
        </is>
      </c>
      <c r="G10" s="50" t="inlineStr">
        <is>
          <t>Hotel gym: DB RDL + hip thrust; long stationary ride.</t>
        </is>
      </c>
      <c r="H10" s="50" t="inlineStr">
        <is>
          <t>Single-leg RDL, hip bridges, back extensions; long Zone 2 ride or run.</t>
        </is>
      </c>
      <c r="I10" s="50" t="inlineStr">
        <is>
          <t>Fuel the long ride (carbs + fluids) — under-fuelling stalls fat loss via overreaching.</t>
        </is>
      </c>
    </row>
    <row r="11" ht="92" customHeight="1">
      <c r="A11" s="44" t="inlineStr">
        <is>
          <t>Sun — Arms + Core + Long Run</t>
        </is>
      </c>
      <c r="B11" s="37" t="inlineStr">
        <is>
          <t>Finish the week with arm pump, core strength and a long aerobic run.</t>
        </is>
      </c>
      <c r="C11" s="37" t="inlineStr">
        <is>
          <t>Arm hypertrophy; core stability; aerobic endurance.</t>
        </is>
      </c>
      <c r="D11" s="37" t="inlineStr">
        <is>
          <t>Barbell/hammer curl, skullcrusher, pushdown; hanging leg raise, plank, cable crunch, pallof. Long run 60-90 min easy.</t>
        </is>
      </c>
      <c r="E11" s="37" t="inlineStr">
        <is>
          <t>Add a set to arms; build long run 5-10 min/week, cap weekly mileage jumps at 10%.</t>
        </is>
      </c>
      <c r="F11" s="37" t="inlineStr">
        <is>
          <t>RPE 7 arms/core; run Zone 2 easy</t>
        </is>
      </c>
      <c r="G11" s="37" t="inlineStr">
        <is>
          <t>Hotel gym: DB arms + core circuit; long treadmill run.</t>
        </is>
      </c>
      <c r="H11" s="37" t="inlineStr">
        <is>
          <t>Band curls, dips, planks, pallof with band; long easy outdoor run.</t>
        </is>
      </c>
      <c r="I11" s="37" t="inlineStr">
        <is>
          <t>Long run is 80% of your easy volume — keep it genuinely easy to avoid injury.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E4E"/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6" customWidth="1" min="4" max="4"/>
    <col width="26" customWidth="1" min="5" max="5"/>
    <col width="26" customWidth="1" min="6" max="6"/>
    <col width="26" customWidth="1" min="7" max="7"/>
    <col width="30" customWidth="1" min="8" max="8"/>
  </cols>
  <sheetData>
    <row r="1" ht="34" customHeight="1">
      <c r="A1" s="1" t="inlineStr">
        <is>
          <t>STRENGTH PROGRESSION</t>
        </is>
      </c>
    </row>
    <row r="2" ht="20" customHeight="1">
      <c r="A2" s="2" t="inlineStr">
        <is>
          <t>Weekly wave strategy for core lifts + high-volume hypertrophy. 6 blocks x 4 weeks.</t>
        </is>
      </c>
    </row>
    <row r="4" ht="24" customHeight="1">
      <c r="A4" s="3" t="inlineStr">
        <is>
          <t>CORE LIFTS — WAVE LOADING (% of working max)</t>
        </is>
      </c>
    </row>
    <row r="5" ht="26" customHeight="1">
      <c r="A5" s="5" t="inlineStr"/>
      <c r="B5" s="5" t="inlineStr">
        <is>
          <t>Lift</t>
        </is>
      </c>
      <c r="C5" s="5" t="inlineStr">
        <is>
          <t>Goal</t>
        </is>
      </c>
      <c r="D5" s="5" t="inlineStr">
        <is>
          <t>Wk1 Accumulation</t>
        </is>
      </c>
      <c r="E5" s="5" t="inlineStr">
        <is>
          <t>Wk2 Progression</t>
        </is>
      </c>
      <c r="F5" s="5" t="inlineStr">
        <is>
          <t>Wk3 Peak</t>
        </is>
      </c>
      <c r="G5" s="5" t="inlineStr">
        <is>
          <t>Wk4 Deload</t>
        </is>
      </c>
      <c r="H5" s="5" t="inlineStr">
        <is>
          <t>Coaching Cue</t>
        </is>
      </c>
    </row>
    <row r="6" ht="40" customHeight="1">
      <c r="B6" s="44" t="inlineStr">
        <is>
          <t>Bench Press</t>
        </is>
      </c>
      <c r="C6" s="37" t="inlineStr">
        <is>
          <t>Maintain 105kg+ / grow</t>
        </is>
      </c>
      <c r="D6" s="37" t="inlineStr">
        <is>
          <t>4x6 @ 72-75%</t>
        </is>
      </c>
      <c r="E6" s="37" t="inlineStr">
        <is>
          <t>5x5 @ 77-80%</t>
        </is>
      </c>
      <c r="F6" s="37" t="inlineStr">
        <is>
          <t>5x5 @ 82-85% (RPE8)</t>
        </is>
      </c>
      <c r="G6" s="37" t="inlineStr">
        <is>
          <t>3x5 @ 65%</t>
        </is>
      </c>
      <c r="H6" s="37" t="inlineStr">
        <is>
          <t>Leg drive, controlled eccentric, full lockout.</t>
        </is>
      </c>
    </row>
    <row r="7" ht="40" customHeight="1">
      <c r="B7" s="49" t="inlineStr">
        <is>
          <t>Back Squat</t>
        </is>
      </c>
      <c r="C7" s="50" t="inlineStr">
        <is>
          <t>Maintain 140kg+ / grow</t>
        </is>
      </c>
      <c r="D7" s="50" t="inlineStr">
        <is>
          <t>4x6 @ 70%</t>
        </is>
      </c>
      <c r="E7" s="50" t="inlineStr">
        <is>
          <t>4x6 @ 75%</t>
        </is>
      </c>
      <c r="F7" s="50" t="inlineStr">
        <is>
          <t>5x5 @ 80% (RPE8)</t>
        </is>
      </c>
      <c r="G7" s="50" t="inlineStr">
        <is>
          <t>3x5 @ 60%</t>
        </is>
      </c>
      <c r="H7" s="50" t="inlineStr">
        <is>
          <t>Brace hard, depth below parallel, drive knees out.</t>
        </is>
      </c>
    </row>
    <row r="8" ht="40" customHeight="1">
      <c r="B8" s="44" t="inlineStr">
        <is>
          <t>Deadlift</t>
        </is>
      </c>
      <c r="C8" s="37" t="inlineStr">
        <is>
          <t>Posterior chain strength</t>
        </is>
      </c>
      <c r="D8" s="37" t="inlineStr">
        <is>
          <t>3x5 @ 70%</t>
        </is>
      </c>
      <c r="E8" s="37" t="inlineStr">
        <is>
          <t>4x4 @ 77%</t>
        </is>
      </c>
      <c r="F8" s="37" t="inlineStr">
        <is>
          <t>4x3 @ 85% (RPE8)</t>
        </is>
      </c>
      <c r="G8" s="37" t="inlineStr">
        <is>
          <t>2x5 @ 60%</t>
        </is>
      </c>
      <c r="H8" s="37" t="inlineStr">
        <is>
          <t>Neutral spine, push the floor away, lock hips.</t>
        </is>
      </c>
    </row>
    <row r="9" ht="40" customHeight="1">
      <c r="B9" s="49" t="inlineStr">
        <is>
          <t>Overhead Press</t>
        </is>
      </c>
      <c r="C9" s="50" t="inlineStr">
        <is>
          <t>Shoulder strength/size</t>
        </is>
      </c>
      <c r="D9" s="50" t="inlineStr">
        <is>
          <t>4x6 @ 70%</t>
        </is>
      </c>
      <c r="E9" s="50" t="inlineStr">
        <is>
          <t>5x5 @ 75%</t>
        </is>
      </c>
      <c r="F9" s="50" t="inlineStr">
        <is>
          <t>5x4 @ 82% (RPE8)</t>
        </is>
      </c>
      <c r="G9" s="50" t="inlineStr">
        <is>
          <t>3x5 @ 60%</t>
        </is>
      </c>
      <c r="H9" s="50" t="inlineStr">
        <is>
          <t>Glutes tight, bar over mid-foot, full lockout.</t>
        </is>
      </c>
    </row>
    <row r="10" ht="40" customHeight="1">
      <c r="B10" s="44" t="inlineStr">
        <is>
          <t>Weighted Pull-up</t>
        </is>
      </c>
      <c r="C10" s="37" t="inlineStr">
        <is>
          <t>Vertical pull strength</t>
        </is>
      </c>
      <c r="D10" s="37" t="inlineStr">
        <is>
          <t>4x6 added load</t>
        </is>
      </c>
      <c r="E10" s="37" t="inlineStr">
        <is>
          <t>4x8 / +load</t>
        </is>
      </c>
      <c r="F10" s="37" t="inlineStr">
        <is>
          <t>5x5 heavy (RPE8)</t>
        </is>
      </c>
      <c r="G10" s="37" t="inlineStr">
        <is>
          <t>3x6 bodyweight</t>
        </is>
      </c>
      <c r="H10" s="37" t="inlineStr">
        <is>
          <t>Full hang to chin over bar, control descent.</t>
        </is>
      </c>
    </row>
    <row r="12" ht="24" customHeight="1">
      <c r="A12" s="3" t="inlineStr">
        <is>
          <t>HIGH-VOLUME HYPERTROPHY (accessory engine)</t>
        </is>
      </c>
    </row>
    <row r="13" ht="26" customHeight="1">
      <c r="A13" s="5" t="inlineStr"/>
      <c r="B13" s="5" t="inlineStr">
        <is>
          <t>Pattern</t>
        </is>
      </c>
      <c r="C13" s="5" t="inlineStr">
        <is>
          <t>Weekly Sets</t>
        </is>
      </c>
      <c r="D13" s="5" t="inlineStr">
        <is>
          <t>Rep Range</t>
        </is>
      </c>
      <c r="E13" s="5" t="inlineStr">
        <is>
          <t>Tempo / Method</t>
        </is>
      </c>
      <c r="F13" s="5" t="inlineStr">
        <is>
          <t>Progression Rule</t>
        </is>
      </c>
      <c r="G13" s="5" t="inlineStr">
        <is>
          <t>Travel Swap</t>
        </is>
      </c>
      <c r="H13" s="5" t="inlineStr">
        <is>
          <t>Notes</t>
        </is>
      </c>
    </row>
    <row r="14" ht="32" customHeight="1">
      <c r="B14" s="44" t="inlineStr">
        <is>
          <t>Horizontal Push</t>
        </is>
      </c>
      <c r="C14" s="37" t="inlineStr">
        <is>
          <t>12-18</t>
        </is>
      </c>
      <c r="D14" s="37" t="inlineStr">
        <is>
          <t>8-15</t>
        </is>
      </c>
      <c r="E14" s="37" t="inlineStr">
        <is>
          <t>3-1-1, chase pump</t>
        </is>
      </c>
      <c r="F14" s="37" t="inlineStr">
        <is>
          <t>Add set/reps weekly until 18, then +load</t>
        </is>
      </c>
      <c r="G14" s="37" t="inlineStr">
        <is>
          <t>DB/Push-up variations</t>
        </is>
      </c>
      <c r="H14" s="37" t="inlineStr">
        <is>
          <t>Chest density Fri</t>
        </is>
      </c>
    </row>
    <row r="15" ht="32" customHeight="1">
      <c r="B15" s="49" t="inlineStr">
        <is>
          <t>Horizontal Pull</t>
        </is>
      </c>
      <c r="C15" s="50" t="inlineStr">
        <is>
          <t>12-18</t>
        </is>
      </c>
      <c r="D15" s="50" t="inlineStr">
        <is>
          <t>8-15</t>
        </is>
      </c>
      <c r="E15" s="50" t="inlineStr">
        <is>
          <t>Squeeze 1s at peak</t>
        </is>
      </c>
      <c r="F15" s="50" t="inlineStr">
        <is>
          <t>Add reps before load</t>
        </is>
      </c>
      <c r="G15" s="50" t="inlineStr">
        <is>
          <t>DB row / band row</t>
        </is>
      </c>
      <c r="H15" s="50" t="inlineStr">
        <is>
          <t>Back thickness focus</t>
        </is>
      </c>
    </row>
    <row r="16" ht="32" customHeight="1">
      <c r="B16" s="44" t="inlineStr">
        <is>
          <t>Vertical Push</t>
        </is>
      </c>
      <c r="C16" s="37" t="inlineStr">
        <is>
          <t>9-15</t>
        </is>
      </c>
      <c r="D16" s="37" t="inlineStr">
        <is>
          <t>8-15</t>
        </is>
      </c>
      <c r="E16" s="37" t="inlineStr">
        <is>
          <t>Strict, no momentum</t>
        </is>
      </c>
      <c r="F16" s="37" t="inlineStr">
        <is>
          <t>Progress lateral-raise volume</t>
        </is>
      </c>
      <c r="G16" s="37" t="inlineStr">
        <is>
          <t>Pike push-up / band</t>
        </is>
      </c>
      <c r="H16" s="37" t="inlineStr">
        <is>
          <t>Cap with deload</t>
        </is>
      </c>
    </row>
    <row r="17" ht="32" customHeight="1">
      <c r="B17" s="49" t="inlineStr">
        <is>
          <t>Vertical Pull</t>
        </is>
      </c>
      <c r="C17" s="50" t="inlineStr">
        <is>
          <t>9-15</t>
        </is>
      </c>
      <c r="D17" s="50" t="inlineStr">
        <is>
          <t>6-12</t>
        </is>
      </c>
      <c r="E17" s="50" t="inlineStr">
        <is>
          <t>Full ROM</t>
        </is>
      </c>
      <c r="F17" s="50" t="inlineStr">
        <is>
          <t>Add load on weighted pull-up</t>
        </is>
      </c>
      <c r="G17" s="50" t="inlineStr">
        <is>
          <t>Band pulldown</t>
        </is>
      </c>
      <c r="H17" s="50" t="inlineStr">
        <is>
          <t>Lat width</t>
        </is>
      </c>
    </row>
    <row r="18" ht="32" customHeight="1">
      <c r="B18" s="44" t="inlineStr">
        <is>
          <t>Quad</t>
        </is>
      </c>
      <c r="C18" s="37" t="inlineStr">
        <is>
          <t>12-18</t>
        </is>
      </c>
      <c r="D18" s="37" t="inlineStr">
        <is>
          <t>8-20</t>
        </is>
      </c>
      <c r="E18" s="37" t="inlineStr">
        <is>
          <t>Controlled, deep</t>
        </is>
      </c>
      <c r="F18" s="37" t="inlineStr">
        <is>
          <t>Reps before load on press/lunge</t>
        </is>
      </c>
      <c r="G18" s="37" t="inlineStr">
        <is>
          <t>Split squat / step-up</t>
        </is>
      </c>
      <c r="H18" s="37" t="inlineStr">
        <is>
          <t>Volume Wed</t>
        </is>
      </c>
    </row>
    <row r="19" ht="32" customHeight="1">
      <c r="B19" s="49" t="inlineStr">
        <is>
          <t>Hamstring/Glute</t>
        </is>
      </c>
      <c r="C19" s="50" t="inlineStr">
        <is>
          <t>10-16</t>
        </is>
      </c>
      <c r="D19" s="50" t="inlineStr">
        <is>
          <t>8-15</t>
        </is>
      </c>
      <c r="E19" s="50" t="inlineStr">
        <is>
          <t>Slow eccentric</t>
        </is>
      </c>
      <c r="F19" s="50" t="inlineStr">
        <is>
          <t>Add Nordic reps / hip-thrust load</t>
        </is>
      </c>
      <c r="G19" s="50" t="inlineStr">
        <is>
          <t>Single-leg RDL / bridge</t>
        </is>
      </c>
      <c r="H19" s="50" t="inlineStr">
        <is>
          <t>Posterior chain Sat</t>
        </is>
      </c>
    </row>
    <row r="20" ht="32" customHeight="1">
      <c r="B20" s="44" t="inlineStr">
        <is>
          <t>Arms (bi/tri)</t>
        </is>
      </c>
      <c r="C20" s="37" t="inlineStr">
        <is>
          <t>12-20</t>
        </is>
      </c>
      <c r="D20" s="37" t="inlineStr">
        <is>
          <t>8-15</t>
        </is>
      </c>
      <c r="E20" s="37" t="inlineStr">
        <is>
          <t>Constant tension</t>
        </is>
      </c>
      <c r="F20" s="37" t="inlineStr">
        <is>
          <t>Add a set in Wk2, drop in Wk4</t>
        </is>
      </c>
      <c r="G20" s="37" t="inlineStr">
        <is>
          <t>Band curls / dips</t>
        </is>
      </c>
      <c r="H20" s="37" t="inlineStr">
        <is>
          <t>Sunday arm day</t>
        </is>
      </c>
    </row>
    <row r="21" ht="32" customHeight="1">
      <c r="B21" s="49" t="inlineStr">
        <is>
          <t>Core</t>
        </is>
      </c>
      <c r="C21" s="50" t="inlineStr">
        <is>
          <t>10-16</t>
        </is>
      </c>
      <c r="D21" s="50" t="inlineStr">
        <is>
          <t>8-20</t>
        </is>
      </c>
      <c r="E21" s="50" t="inlineStr">
        <is>
          <t>Anti-rotation focus</t>
        </is>
      </c>
      <c r="F21" s="50" t="inlineStr">
        <is>
          <t>Add load/duration weekly</t>
        </is>
      </c>
      <c r="G21" s="50" t="inlineStr">
        <is>
          <t>Plank / pallof band</t>
        </is>
      </c>
      <c r="H21" s="50" t="inlineStr">
        <is>
          <t>Daily option</t>
        </is>
      </c>
    </row>
    <row r="23" ht="30" customHeight="1">
      <c r="B23" s="51" t="inlineStr">
        <is>
          <t>Deload weeks: cut strength volume ~40% (drop sets, keep a little intensity). Progressive overload = add a set, a rep, or a small load only where the prior week was completed cleanly.</t>
        </is>
      </c>
    </row>
  </sheetData>
  <mergeCells count="5">
    <mergeCell ref="A12:H12"/>
    <mergeCell ref="A4:H4"/>
    <mergeCell ref="A2:H2"/>
    <mergeCell ref="A1:H1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40" customWidth="1" min="7" max="7"/>
  </cols>
  <sheetData>
    <row r="1" ht="34" customHeight="1">
      <c r="A1" s="1" t="inlineStr">
        <is>
          <t>CYCLING — 80/20 POLARISED</t>
        </is>
      </c>
    </row>
    <row r="2" ht="20" customHeight="1">
      <c r="A2" s="2" t="inlineStr">
        <is>
          <t>Power zones anchored to FTP 215W (baseline). ~80% easy Zone 2, ~20% hard.</t>
        </is>
      </c>
    </row>
    <row r="4" ht="24" customHeight="1">
      <c r="A4" s="3" t="inlineStr">
        <is>
          <t>POWER ZONES @ FTP 215W</t>
        </is>
      </c>
    </row>
    <row r="5" ht="26" customHeight="1">
      <c r="A5" s="5" t="inlineStr"/>
      <c r="B5" s="5" t="inlineStr">
        <is>
          <t>Zone</t>
        </is>
      </c>
      <c r="C5" s="5" t="inlineStr">
        <is>
          <t>% FTP</t>
        </is>
      </c>
      <c r="D5" s="5" t="inlineStr">
        <is>
          <t>Watts @215</t>
        </is>
      </c>
      <c r="E5" s="5" t="inlineStr">
        <is>
          <t>Watts @275</t>
        </is>
      </c>
      <c r="F5" s="5" t="inlineStr">
        <is>
          <t>Feel</t>
        </is>
      </c>
      <c r="G5" s="5" t="inlineStr">
        <is>
          <t>Use</t>
        </is>
      </c>
    </row>
    <row r="6" ht="26" customHeight="1">
      <c r="B6" s="52" t="inlineStr">
        <is>
          <t>Z1 Recovery</t>
        </is>
      </c>
      <c r="C6" s="28" t="inlineStr">
        <is>
          <t>50-55%</t>
        </is>
      </c>
      <c r="D6" s="28" t="inlineStr">
        <is>
          <t>107-118 W</t>
        </is>
      </c>
      <c r="E6" s="28" t="inlineStr">
        <is>
          <t>137-151 W</t>
        </is>
      </c>
      <c r="F6" s="37" t="inlineStr">
        <is>
          <t>Spinning, fully easy</t>
        </is>
      </c>
      <c r="G6" s="37" t="inlineStr">
        <is>
          <t>Warm-up, cooldown, recovery spins</t>
        </is>
      </c>
    </row>
    <row r="7" ht="26" customHeight="1">
      <c r="B7" s="53" t="inlineStr">
        <is>
          <t>Z2 Endurance</t>
        </is>
      </c>
      <c r="C7" s="28" t="inlineStr">
        <is>
          <t>56-75%</t>
        </is>
      </c>
      <c r="D7" s="28" t="inlineStr">
        <is>
          <t>120-161 W</t>
        </is>
      </c>
      <c r="E7" s="28" t="inlineStr">
        <is>
          <t>154-206 W</t>
        </is>
      </c>
      <c r="F7" s="37" t="inlineStr">
        <is>
          <t>All-day, nose-breathing</t>
        </is>
      </c>
      <c r="G7" s="37" t="inlineStr">
        <is>
          <t>Bulk of weekly volume; Mon ride &amp; Sat long ride</t>
        </is>
      </c>
    </row>
    <row r="8" ht="26" customHeight="1">
      <c r="B8" s="54" t="inlineStr">
        <is>
          <t>Z3 Tempo</t>
        </is>
      </c>
      <c r="C8" s="28" t="inlineStr">
        <is>
          <t>76-90%</t>
        </is>
      </c>
      <c r="D8" s="28" t="inlineStr">
        <is>
          <t>163-193 W</t>
        </is>
      </c>
      <c r="E8" s="28" t="inlineStr">
        <is>
          <t>209-247 W</t>
        </is>
      </c>
      <c r="F8" s="37" t="inlineStr">
        <is>
          <t>Steady, working</t>
        </is>
      </c>
      <c r="G8" s="37" t="inlineStr">
        <is>
          <t>Sparingly — bridge efforts, sweet spot touches</t>
        </is>
      </c>
    </row>
    <row r="9" ht="26" customHeight="1">
      <c r="B9" s="55" t="inlineStr">
        <is>
          <t>Z4 Threshold</t>
        </is>
      </c>
      <c r="C9" s="28" t="inlineStr">
        <is>
          <t>91-105%</t>
        </is>
      </c>
      <c r="D9" s="28" t="inlineStr">
        <is>
          <t>195-225 W</t>
        </is>
      </c>
      <c r="E9" s="28" t="inlineStr">
        <is>
          <t>250-288 W</t>
        </is>
      </c>
      <c r="F9" s="37" t="inlineStr">
        <is>
          <t>Comfortably hard</t>
        </is>
      </c>
      <c r="G9" s="37" t="inlineStr">
        <is>
          <t>Thursday threshold 2-3x10-15min</t>
        </is>
      </c>
    </row>
    <row r="10" ht="26" customHeight="1">
      <c r="B10" s="56" t="inlineStr">
        <is>
          <t>Z5 VO2 Max</t>
        </is>
      </c>
      <c r="C10" s="28" t="inlineStr">
        <is>
          <t>106-120%</t>
        </is>
      </c>
      <c r="D10" s="28" t="inlineStr">
        <is>
          <t>227-258 W</t>
        </is>
      </c>
      <c r="E10" s="28" t="inlineStr">
        <is>
          <t>291-330 W</t>
        </is>
      </c>
      <c r="F10" s="37" t="inlineStr">
        <is>
          <t>Hard, breathless</t>
        </is>
      </c>
      <c r="G10" s="37" t="inlineStr">
        <is>
          <t>Tuesday VO2 5-6x3min</t>
        </is>
      </c>
    </row>
    <row r="11" ht="26" customHeight="1">
      <c r="B11" s="57" t="inlineStr">
        <is>
          <t>Z6 Anaerobic</t>
        </is>
      </c>
      <c r="C11" s="28" t="inlineStr">
        <is>
          <t>121-150%</t>
        </is>
      </c>
      <c r="D11" s="28" t="inlineStr">
        <is>
          <t>260-322 W</t>
        </is>
      </c>
      <c r="E11" s="28" t="inlineStr">
        <is>
          <t>332-412 W</t>
        </is>
      </c>
      <c r="F11" s="37" t="inlineStr">
        <is>
          <t>Sprint / max</t>
        </is>
      </c>
      <c r="G11" s="37" t="inlineStr">
        <is>
          <t>Short neuromuscular bursts only</t>
        </is>
      </c>
    </row>
    <row r="13" ht="24" customHeight="1">
      <c r="A13" s="3" t="inlineStr">
        <is>
          <t>KEY SESSIONS</t>
        </is>
      </c>
    </row>
    <row r="14" ht="26" customHeight="1">
      <c r="A14" s="5" t="inlineStr"/>
      <c r="B14" s="5" t="inlineStr">
        <is>
          <t>Session</t>
        </is>
      </c>
      <c r="C14" s="5" t="inlineStr">
        <is>
          <t>Day</t>
        </is>
      </c>
      <c r="D14" s="5" t="inlineStr">
        <is>
          <t>Structure</t>
        </is>
      </c>
      <c r="E14" s="5" t="inlineStr">
        <is>
          <t>Target Zone</t>
        </is>
      </c>
      <c r="F14" s="5" t="inlineStr">
        <is>
          <t>Duration</t>
        </is>
      </c>
      <c r="G14" s="5" t="inlineStr">
        <is>
          <t>Progression</t>
        </is>
      </c>
    </row>
    <row r="15" ht="30" customHeight="1">
      <c r="B15" s="44" t="inlineStr">
        <is>
          <t>Zone 2 Base</t>
        </is>
      </c>
      <c r="C15" s="37" t="inlineStr">
        <is>
          <t>Mon</t>
        </is>
      </c>
      <c r="D15" s="37" t="inlineStr">
        <is>
          <t>Steady aerobic, hold watts, cadence 85-95</t>
        </is>
      </c>
      <c r="E15" s="37" t="inlineStr">
        <is>
          <t>Z2 120-161W</t>
        </is>
      </c>
      <c r="F15" s="37" t="inlineStr">
        <is>
          <t>40-75 min</t>
        </is>
      </c>
      <c r="G15" s="37" t="inlineStr">
        <is>
          <t>Add 5-10 min/week</t>
        </is>
      </c>
    </row>
    <row r="16" ht="30" customHeight="1">
      <c r="B16" s="49" t="inlineStr">
        <is>
          <t>VO2 Max</t>
        </is>
      </c>
      <c r="C16" s="50" t="inlineStr">
        <is>
          <t>Tue</t>
        </is>
      </c>
      <c r="D16" s="50" t="inlineStr">
        <is>
          <t>5-6 x 3 min hard / 3 min easy</t>
        </is>
      </c>
      <c r="E16" s="50" t="inlineStr">
        <is>
          <t>Z5 228-258W</t>
        </is>
      </c>
      <c r="F16" s="50" t="inlineStr">
        <is>
          <t>45-60 min</t>
        </is>
      </c>
      <c r="G16" s="50" t="inlineStr">
        <is>
          <t>Add a rep or trim recovery</t>
        </is>
      </c>
    </row>
    <row r="17" ht="30" customHeight="1">
      <c r="B17" s="44" t="inlineStr">
        <is>
          <t>Threshold</t>
        </is>
      </c>
      <c r="C17" s="37" t="inlineStr">
        <is>
          <t>Thu</t>
        </is>
      </c>
      <c r="D17" s="37" t="inlineStr">
        <is>
          <t>2-3 x 10-15 min</t>
        </is>
      </c>
      <c r="E17" s="37" t="inlineStr">
        <is>
          <t>Z4 196-226W</t>
        </is>
      </c>
      <c r="F17" s="37" t="inlineStr">
        <is>
          <t>50-70 min</t>
        </is>
      </c>
      <c r="G17" s="37" t="inlineStr">
        <is>
          <t>Extend interval length</t>
        </is>
      </c>
    </row>
    <row r="18" ht="30" customHeight="1">
      <c r="B18" s="49" t="inlineStr">
        <is>
          <t>Long Ride</t>
        </is>
      </c>
      <c r="C18" s="50" t="inlineStr">
        <is>
          <t>Sat</t>
        </is>
      </c>
      <c r="D18" s="50" t="inlineStr">
        <is>
          <t>Continuous endurance, fuel hourly</t>
        </is>
      </c>
      <c r="E18" s="50" t="inlineStr">
        <is>
          <t>Z2 120-161W</t>
        </is>
      </c>
      <c r="F18" s="50" t="inlineStr">
        <is>
          <t>90-180 min</t>
        </is>
      </c>
      <c r="G18" s="50" t="inlineStr">
        <is>
          <t>Add 15-20 min/week</t>
        </is>
      </c>
    </row>
    <row r="20" ht="30" customHeight="1">
      <c r="B20" s="51" t="inlineStr">
        <is>
          <t>80/20 rule: ~80% of weekly riding time in Zone 2, ~20% in Z4-Z5. As FTP rises through the block, re-test every 4 weeks and recompute zones (watts in the '@275' column show the end-state targets).</t>
        </is>
      </c>
    </row>
  </sheetData>
  <mergeCells count="5">
    <mergeCell ref="A13:G13"/>
    <mergeCell ref="B20:G20"/>
    <mergeCell ref="A1:G1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E7C7B"/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26" customWidth="1" min="4" max="4"/>
    <col width="20" customWidth="1" min="5" max="5"/>
    <col width="18" customWidth="1" min="6" max="6"/>
    <col width="40" customWidth="1" min="7" max="7"/>
  </cols>
  <sheetData>
    <row r="1" ht="34" customHeight="1">
      <c r="A1" s="1" t="inlineStr">
        <is>
          <t>RUNNING — 80/20 + INJURY-PROOFING</t>
        </is>
      </c>
    </row>
    <row r="2" ht="20" customHeight="1">
      <c r="A2" s="2" t="inlineStr">
        <is>
          <t>Build to a sub-27 5km. ~80% easy, ~20% quality. Cap mileage jumps at 10%/week.</t>
        </is>
      </c>
    </row>
    <row r="4" ht="24" customHeight="1">
      <c r="A4" s="3" t="inlineStr">
        <is>
          <t>RUN TYPES</t>
        </is>
      </c>
    </row>
    <row r="5" ht="26" customHeight="1">
      <c r="A5" s="5" t="inlineStr"/>
      <c r="B5" s="5" t="inlineStr">
        <is>
          <t>Type</t>
        </is>
      </c>
      <c r="C5" s="5" t="inlineStr">
        <is>
          <t>% Volume</t>
        </is>
      </c>
      <c r="D5" s="5" t="inlineStr">
        <is>
          <t>Purpose</t>
        </is>
      </c>
      <c r="E5" s="5" t="inlineStr">
        <is>
          <t>Pace / Effort</t>
        </is>
      </c>
      <c r="F5" s="5" t="inlineStr">
        <is>
          <t>Day</t>
        </is>
      </c>
      <c r="G5" s="5" t="inlineStr">
        <is>
          <t>Progression</t>
        </is>
      </c>
    </row>
    <row r="6" ht="32" customHeight="1">
      <c r="B6" s="44" t="inlineStr">
        <is>
          <t>Easy</t>
        </is>
      </c>
      <c r="C6" s="37" t="inlineStr">
        <is>
          <t>~70%</t>
        </is>
      </c>
      <c r="D6" s="37" t="inlineStr">
        <is>
          <t>Aerobic base, recovery, economy</t>
        </is>
      </c>
      <c r="E6" s="37" t="inlineStr">
        <is>
          <t>Conversational, Zone 2</t>
        </is>
      </c>
      <c r="F6" s="37" t="inlineStr">
        <is>
          <t>Wed</t>
        </is>
      </c>
      <c r="G6" s="37" t="inlineStr">
        <is>
          <t>Add 5 min/week; keep it truly easy</t>
        </is>
      </c>
    </row>
    <row r="7" ht="32" customHeight="1">
      <c r="B7" s="49" t="inlineStr">
        <is>
          <t>Long</t>
        </is>
      </c>
      <c r="C7" s="50" t="inlineStr">
        <is>
          <t>~15%</t>
        </is>
      </c>
      <c r="D7" s="50" t="inlineStr">
        <is>
          <t>Endurance, fat oxidation, durability</t>
        </is>
      </c>
      <c r="E7" s="50" t="inlineStr">
        <is>
          <t>Easy-steady Zone 2</t>
        </is>
      </c>
      <c r="F7" s="50" t="inlineStr">
        <is>
          <t>Sun</t>
        </is>
      </c>
      <c r="G7" s="50" t="inlineStr">
        <is>
          <t>Add 5-10 min/week, cap +10% total</t>
        </is>
      </c>
    </row>
    <row r="8" ht="32" customHeight="1">
      <c r="B8" s="44" t="inlineStr">
        <is>
          <t>Tempo</t>
        </is>
      </c>
      <c r="C8" s="37" t="inlineStr">
        <is>
          <t>~8%</t>
        </is>
      </c>
      <c r="D8" s="37" t="inlineStr">
        <is>
          <t>Lactate threshold, sustained speed</t>
        </is>
      </c>
      <c r="E8" s="37" t="inlineStr">
        <is>
          <t>Comfortably hard</t>
        </is>
      </c>
      <c r="F8" s="37" t="inlineStr">
        <is>
          <t>rotate</t>
        </is>
      </c>
      <c r="G8" s="37" t="inlineStr">
        <is>
          <t>Extend from 2x8 to 1x25 min</t>
        </is>
      </c>
    </row>
    <row r="9" ht="32" customHeight="1">
      <c r="B9" s="49" t="inlineStr">
        <is>
          <t>Speed / VO2</t>
        </is>
      </c>
      <c r="C9" s="50" t="inlineStr">
        <is>
          <t>~7%</t>
        </is>
      </c>
      <c r="D9" s="50" t="inlineStr">
        <is>
          <t>Top-end speed, VO2 max, 5km pace</t>
        </is>
      </c>
      <c r="E9" s="50" t="inlineStr">
        <is>
          <t>Hard intervals</t>
        </is>
      </c>
      <c r="F9" s="50" t="inlineStr">
        <is>
          <t>rotate</t>
        </is>
      </c>
      <c r="G9" s="50" t="inlineStr">
        <is>
          <t>400/800m reps; add reps weekly</t>
        </is>
      </c>
    </row>
    <row r="11" ht="24" customHeight="1">
      <c r="A11" s="3" t="inlineStr">
        <is>
          <t>5KM PROGRESSION (target by block)</t>
        </is>
      </c>
    </row>
    <row r="12" ht="26" customHeight="1">
      <c r="A12" s="5" t="inlineStr"/>
      <c r="B12" s="5" t="inlineStr">
        <is>
          <t>Block</t>
        </is>
      </c>
      <c r="C12" s="5" t="inlineStr">
        <is>
          <t>Weeks</t>
        </is>
      </c>
      <c r="D12" s="5" t="inlineStr">
        <is>
          <t>5km Target</t>
        </is>
      </c>
      <c r="E12" s="5" t="inlineStr">
        <is>
          <t>Focus</t>
        </is>
      </c>
      <c r="F12" s="5" t="inlineStr"/>
      <c r="G12" s="5" t="inlineStr"/>
    </row>
    <row r="13">
      <c r="B13" s="34" t="inlineStr">
        <is>
          <t>Block 1</t>
        </is>
      </c>
      <c r="C13" s="31" t="inlineStr">
        <is>
          <t>1-4</t>
        </is>
      </c>
      <c r="D13" s="31" t="inlineStr">
        <is>
          <t>31:13</t>
        </is>
      </c>
      <c r="E13" s="7" t="inlineStr">
        <is>
          <t>Aerobic base, form drills</t>
        </is>
      </c>
      <c r="F13" s="31" t="n"/>
      <c r="G13" s="31" t="n"/>
    </row>
    <row r="14">
      <c r="B14" s="58" t="inlineStr">
        <is>
          <t>Block 2</t>
        </is>
      </c>
      <c r="C14" s="59" t="inlineStr">
        <is>
          <t>5-8</t>
        </is>
      </c>
      <c r="D14" s="59" t="inlineStr">
        <is>
          <t>30:10</t>
        </is>
      </c>
      <c r="E14" s="60" t="inlineStr">
        <is>
          <t>Easy volume up, light strides</t>
        </is>
      </c>
      <c r="F14" s="59" t="n"/>
      <c r="G14" s="59" t="n"/>
    </row>
    <row r="15">
      <c r="B15" s="34" t="inlineStr">
        <is>
          <t>Block 3</t>
        </is>
      </c>
      <c r="C15" s="31" t="inlineStr">
        <is>
          <t>9-12</t>
        </is>
      </c>
      <c r="D15" s="31" t="inlineStr">
        <is>
          <t>29:08</t>
        </is>
      </c>
      <c r="E15" s="7" t="inlineStr">
        <is>
          <t>Tempo introduction</t>
        </is>
      </c>
      <c r="F15" s="31" t="n"/>
      <c r="G15" s="31" t="n"/>
    </row>
    <row r="16">
      <c r="B16" s="58" t="inlineStr">
        <is>
          <t>Block 4</t>
        </is>
      </c>
      <c r="C16" s="59" t="inlineStr">
        <is>
          <t>13-16</t>
        </is>
      </c>
      <c r="D16" s="59" t="inlineStr">
        <is>
          <t>28:05</t>
        </is>
      </c>
      <c r="E16" s="60" t="inlineStr">
        <is>
          <t>Threshold blocks</t>
        </is>
      </c>
      <c r="F16" s="59" t="n"/>
      <c r="G16" s="59" t="n"/>
    </row>
    <row r="17">
      <c r="B17" s="34" t="inlineStr">
        <is>
          <t>Block 5</t>
        </is>
      </c>
      <c r="C17" s="31" t="inlineStr">
        <is>
          <t>17-20</t>
        </is>
      </c>
      <c r="D17" s="31" t="inlineStr">
        <is>
          <t>27:03</t>
        </is>
      </c>
      <c r="E17" s="7" t="inlineStr">
        <is>
          <t>VO2 / 5km-pace reps</t>
        </is>
      </c>
      <c r="F17" s="31" t="n"/>
      <c r="G17" s="31" t="n"/>
    </row>
    <row r="18">
      <c r="B18" s="58" t="inlineStr">
        <is>
          <t>Block 6</t>
        </is>
      </c>
      <c r="C18" s="59" t="inlineStr">
        <is>
          <t>21-24</t>
        </is>
      </c>
      <c r="D18" s="59" t="inlineStr">
        <is>
          <t>26:00</t>
        </is>
      </c>
      <c r="E18" s="60" t="inlineStr">
        <is>
          <t>Sharpen &amp; test sub-27</t>
        </is>
      </c>
      <c r="F18" s="59" t="n"/>
      <c r="G18" s="59" t="n"/>
    </row>
    <row r="20" ht="24" customHeight="1">
      <c r="A20" s="3" t="inlineStr">
        <is>
          <t>INJURY-RISK GUIDANCE</t>
        </is>
      </c>
    </row>
    <row r="21" ht="16" customHeight="1">
      <c r="B21" s="4" t="inlineStr">
        <is>
          <t>•  Hold the 10% rule: never raise total weekly running volume by more than ~10% week to week.</t>
        </is>
      </c>
    </row>
    <row r="22" ht="16" customHeight="1">
      <c r="B22" s="4" t="inlineStr">
        <is>
          <t>•  Keep 80% of runs genuinely easy — most running injuries come from too much intensity, too soon.</t>
        </is>
      </c>
    </row>
    <row r="23" ht="16" customHeight="1">
      <c r="B23" s="4" t="inlineStr">
        <is>
          <t>•  Run on legs that are recovered: if HRV is down or recovery &lt;5/10, swap quality for easy or rest.</t>
        </is>
      </c>
    </row>
    <row r="24" ht="16" customHeight="1">
      <c r="B24" s="4" t="inlineStr">
        <is>
          <t>•  Strength work (Wed legs, Sat posterior chain) is injury insurance — do not skip it on heavy run weeks.</t>
        </is>
      </c>
    </row>
    <row r="25" ht="16" customHeight="1">
      <c r="B25" s="4" t="inlineStr">
        <is>
          <t>•  Rotate two pairs of shoes, replace every ~600-800km, and prioritise calf/Achilles &amp; hip mobility.</t>
        </is>
      </c>
    </row>
    <row r="26" ht="16" customHeight="1">
      <c r="B26" s="4" t="inlineStr">
        <is>
          <t>•  Any sharp or escalating pain = stop. Substitute cycling/swim and reassess; never run through it.</t>
        </is>
      </c>
    </row>
  </sheetData>
  <mergeCells count="17">
    <mergeCell ref="B24:G24"/>
    <mergeCell ref="A1:G1"/>
    <mergeCell ref="E13:G13"/>
    <mergeCell ref="E14:G14"/>
    <mergeCell ref="B22:G22"/>
    <mergeCell ref="B23:G23"/>
    <mergeCell ref="A4:G4"/>
    <mergeCell ref="A20:G20"/>
    <mergeCell ref="E17:G17"/>
    <mergeCell ref="A2:G2"/>
    <mergeCell ref="E18:G18"/>
    <mergeCell ref="B26:G26"/>
    <mergeCell ref="B21:G21"/>
    <mergeCell ref="E15:G15"/>
    <mergeCell ref="A11:G11"/>
    <mergeCell ref="B25:G25"/>
    <mergeCell ref="E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5E4E"/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8" customWidth="1" min="4" max="4"/>
    <col width="22" customWidth="1" min="5" max="5"/>
    <col width="40" customWidth="1" min="6" max="6"/>
  </cols>
  <sheetData>
    <row r="1" ht="34" customHeight="1">
      <c r="A1" s="1" t="inlineStr">
        <is>
          <t>HYBRID SYSTEM</t>
        </is>
      </c>
    </row>
    <row r="2" ht="20" customHeight="1">
      <c r="A2" s="2" t="inlineStr">
        <is>
          <t>Carries, kettlebells, conditioning circuits &amp; hybrid simulation. No rower required.</t>
        </is>
      </c>
    </row>
    <row r="4" ht="24" customHeight="1">
      <c r="A4" s="3" t="inlineStr">
        <is>
          <t>LOADED CARRIES</t>
        </is>
      </c>
    </row>
    <row r="5" ht="26" customHeight="1">
      <c r="A5" s="5" t="inlineStr"/>
      <c r="B5" s="5" t="inlineStr">
        <is>
          <t>Carry</t>
        </is>
      </c>
      <c r="C5" s="5" t="inlineStr">
        <is>
          <t>How</t>
        </is>
      </c>
      <c r="D5" s="5" t="inlineStr">
        <is>
          <t>Load</t>
        </is>
      </c>
      <c r="E5" s="5" t="inlineStr">
        <is>
          <t>Distance / Time</t>
        </is>
      </c>
      <c r="F5" s="5" t="inlineStr">
        <is>
          <t>Adaptation</t>
        </is>
      </c>
    </row>
    <row r="6" ht="28" customHeight="1">
      <c r="B6" s="44" t="inlineStr">
        <is>
          <t>Farmer's Carry</t>
        </is>
      </c>
      <c r="C6" s="37" t="inlineStr">
        <is>
          <t>DBs/KBs/handles at sides, tall posture</t>
        </is>
      </c>
      <c r="D6" s="37" t="inlineStr">
        <is>
          <t>Heavy</t>
        </is>
      </c>
      <c r="E6" s="37" t="inlineStr">
        <is>
          <t>4 x 40m</t>
        </is>
      </c>
      <c r="F6" s="37" t="inlineStr">
        <is>
          <t>Grip, traps, core, work capacity</t>
        </is>
      </c>
    </row>
    <row r="7" ht="28" customHeight="1">
      <c r="B7" s="49" t="inlineStr">
        <is>
          <t>Front Rack Carry</t>
        </is>
      </c>
      <c r="C7" s="50" t="inlineStr">
        <is>
          <t>KBs/DBs racked at shoulders, brace</t>
        </is>
      </c>
      <c r="D7" s="50" t="inlineStr">
        <is>
          <t>Moderate</t>
        </is>
      </c>
      <c r="E7" s="50" t="inlineStr">
        <is>
          <t>4 x 30m</t>
        </is>
      </c>
      <c r="F7" s="50" t="inlineStr">
        <is>
          <t>Core stability, upper-back, breathing</t>
        </is>
      </c>
    </row>
    <row r="8" ht="28" customHeight="1">
      <c r="B8" s="44" t="inlineStr">
        <is>
          <t>Suitcase Carry</t>
        </is>
      </c>
      <c r="C8" s="37" t="inlineStr">
        <is>
          <t>One-side load, resist lean</t>
        </is>
      </c>
      <c r="D8" s="37" t="inlineStr">
        <is>
          <t>Moderate</t>
        </is>
      </c>
      <c r="E8" s="37" t="inlineStr">
        <is>
          <t>3 x 30m/side</t>
        </is>
      </c>
      <c r="F8" s="37" t="inlineStr">
        <is>
          <t>Anti-lateral-flexion core, obliques</t>
        </is>
      </c>
    </row>
    <row r="9" ht="28" customHeight="1">
      <c r="B9" s="49" t="inlineStr">
        <is>
          <t>Overhead Carry</t>
        </is>
      </c>
      <c r="C9" s="50" t="inlineStr">
        <is>
          <t>DB/KB locked overhead</t>
        </is>
      </c>
      <c r="D9" s="50" t="inlineStr">
        <is>
          <t>Light</t>
        </is>
      </c>
      <c r="E9" s="50" t="inlineStr">
        <is>
          <t>3 x 20m/side</t>
        </is>
      </c>
      <c r="F9" s="50" t="inlineStr">
        <is>
          <t>Shoulder stability, midline</t>
        </is>
      </c>
    </row>
    <row r="10" ht="28" customHeight="1">
      <c r="B10" s="44" t="inlineStr">
        <is>
          <t>Sandbag/Bag Carry</t>
        </is>
      </c>
      <c r="C10" s="37" t="inlineStr">
        <is>
          <t>Bear hug a bag or backpack</t>
        </is>
      </c>
      <c r="D10" s="37" t="inlineStr">
        <is>
          <t>Heavy</t>
        </is>
      </c>
      <c r="E10" s="37" t="inlineStr">
        <is>
          <t>4 x 40m</t>
        </is>
      </c>
      <c r="F10" s="37" t="inlineStr">
        <is>
          <t>Travel-proof full-body carry</t>
        </is>
      </c>
    </row>
    <row r="12" ht="24" customHeight="1">
      <c r="A12" s="3" t="inlineStr">
        <is>
          <t>KETTLEBELL &amp; CONDITIONING CIRCUITS</t>
        </is>
      </c>
    </row>
    <row r="13" ht="26" customHeight="1">
      <c r="A13" s="5" t="inlineStr"/>
      <c r="B13" s="5" t="inlineStr">
        <is>
          <t>Circuit</t>
        </is>
      </c>
      <c r="C13" s="5" t="inlineStr">
        <is>
          <t>Movements</t>
        </is>
      </c>
      <c r="D13" s="5" t="inlineStr">
        <is>
          <t>Format</t>
        </is>
      </c>
      <c r="E13" s="5" t="inlineStr">
        <is>
          <t>Duration</t>
        </is>
      </c>
      <c r="F13" s="5" t="inlineStr">
        <is>
          <t>Notes</t>
        </is>
      </c>
    </row>
    <row r="14" ht="30" customHeight="1">
      <c r="B14" s="44" t="inlineStr">
        <is>
          <t>KB Strength-Cardio</t>
        </is>
      </c>
      <c r="C14" s="37" t="inlineStr">
        <is>
          <t>Swing, goblet squat, clean &amp; press, snatch</t>
        </is>
      </c>
      <c r="D14" s="37" t="inlineStr">
        <is>
          <t>EMOM / 40:20</t>
        </is>
      </c>
      <c r="E14" s="37" t="inlineStr">
        <is>
          <t>12-16 min</t>
        </is>
      </c>
      <c r="F14" s="37" t="inlineStr">
        <is>
          <t>Hinge power + conditioning, no rower needed</t>
        </is>
      </c>
    </row>
    <row r="15" ht="30" customHeight="1">
      <c r="B15" s="49" t="inlineStr">
        <is>
          <t>Hybrid Finisher (Fri)</t>
        </is>
      </c>
      <c r="C15" s="50" t="inlineStr">
        <is>
          <t>Carries, burpees, walking lunges</t>
        </is>
      </c>
      <c r="D15" s="50" t="inlineStr">
        <is>
          <t>3-4 rounds</t>
        </is>
      </c>
      <c r="E15" s="50" t="inlineStr">
        <is>
          <t>12-15 min</t>
        </is>
      </c>
      <c r="F15" s="50" t="inlineStr">
        <is>
          <t>Sustainably hard; the week's signature conditioning</t>
        </is>
      </c>
    </row>
    <row r="16" ht="30" customHeight="1">
      <c r="B16" s="44" t="inlineStr">
        <is>
          <t>Bodyweight Burner</t>
        </is>
      </c>
      <c r="C16" s="37" t="inlineStr">
        <is>
          <t>Burpees, push-ups, air squats, mtn climbers</t>
        </is>
      </c>
      <c r="D16" s="37" t="inlineStr">
        <is>
          <t>AMRAP</t>
        </is>
      </c>
      <c r="E16" s="37" t="inlineStr">
        <is>
          <t>10-12 min</t>
        </is>
      </c>
      <c r="F16" s="37" t="inlineStr">
        <is>
          <t>No-gym / hotel-room option</t>
        </is>
      </c>
    </row>
    <row r="17" ht="30" customHeight="1">
      <c r="B17" s="49" t="inlineStr">
        <is>
          <t>Tabata Intervals</t>
        </is>
      </c>
      <c r="C17" s="50" t="inlineStr">
        <is>
          <t>Pick 1-2 moves (KB swing / burpee)</t>
        </is>
      </c>
      <c r="D17" s="50" t="inlineStr">
        <is>
          <t>20:10 x 8</t>
        </is>
      </c>
      <c r="E17" s="50" t="inlineStr">
        <is>
          <t>4-8 min</t>
        </is>
      </c>
      <c r="F17" s="50" t="inlineStr">
        <is>
          <t>Short, sharp metabolic hit</t>
        </is>
      </c>
    </row>
    <row r="18" ht="30" customHeight="1">
      <c r="B18" s="44" t="inlineStr">
        <is>
          <t>Stair / Hill Repeats</t>
        </is>
      </c>
      <c r="C18" s="37" t="inlineStr">
        <is>
          <t>Carry or sprint stairs/hills</t>
        </is>
      </c>
      <c r="D18" s="37" t="inlineStr">
        <is>
          <t>8-12 reps</t>
        </is>
      </c>
      <c r="E18" s="37" t="inlineStr">
        <is>
          <t>15-20 min</t>
        </is>
      </c>
      <c r="F18" s="37" t="inlineStr">
        <is>
          <t>Loaded carries up, easy walk down</t>
        </is>
      </c>
    </row>
    <row r="20" ht="24" customHeight="1">
      <c r="A20" s="3" t="inlineStr">
        <is>
          <t>HYBRID SIMULATION (test your engine)</t>
        </is>
      </c>
    </row>
    <row r="21" ht="18" customHeight="1">
      <c r="B21" s="4" t="inlineStr">
        <is>
          <t>Every 4 weeks, run a hybrid test to track work capacity:
•  Strength-endurance: 5 rounds of 10 KB swings + 10 push-ups + 40m farmer carry for time.
•  Engine: 20 min AMRAP — 200m run / 8 burpees / 12 walking lunges.
•  Log total rounds / time and compare each block. No rower — running, carries and burpees cover conditioning.</t>
        </is>
      </c>
    </row>
    <row r="22"/>
    <row r="23"/>
    <row r="24"/>
  </sheetData>
  <mergeCells count="6">
    <mergeCell ref="A2:F2"/>
    <mergeCell ref="B21:F24"/>
    <mergeCell ref="A1:F1"/>
    <mergeCell ref="A12:F12"/>
    <mergeCell ref="A4:F4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07A1F"/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  <col width="40" customWidth="1" min="5" max="5"/>
  </cols>
  <sheetData>
    <row r="1" ht="34" customHeight="1">
      <c r="A1" s="1" t="inlineStr">
        <is>
          <t>TRAVEL PLAYBOOK</t>
        </is>
      </c>
    </row>
    <row r="2" ht="20" customHeight="1">
      <c r="A2" s="2" t="inlineStr">
        <is>
          <t>Never miss a session. Full gym, hotel gym, no gym — plus fatigue substitutions.</t>
        </is>
      </c>
    </row>
    <row r="4" ht="26" customHeight="1">
      <c r="A4" s="5" t="inlineStr"/>
      <c r="B4" s="5" t="inlineStr">
        <is>
          <t>Training Day</t>
        </is>
      </c>
      <c r="C4" s="5" t="inlineStr">
        <is>
          <t>Full Gym</t>
        </is>
      </c>
      <c r="D4" s="5" t="inlineStr">
        <is>
          <t>Hotel Gym</t>
        </is>
      </c>
      <c r="E4" s="5" t="inlineStr">
        <is>
          <t>No Gym / Room</t>
        </is>
      </c>
    </row>
    <row r="5" ht="46" customHeight="1">
      <c r="B5" s="44" t="inlineStr">
        <is>
          <t>Mon — Chest+Bi+Z2</t>
        </is>
      </c>
      <c r="C5" s="37" t="inlineStr">
        <is>
          <t>Barbell bench, dips, cable fly, EZ curls + Zone 2 bike</t>
        </is>
      </c>
      <c r="D5" s="37" t="inlineStr">
        <is>
          <t>DB bench/incline, DB curls + stationary bike Zone 2</t>
        </is>
      </c>
      <c r="E5" s="37" t="inlineStr">
        <is>
          <t>Deficit push-ups, band curls, tempo work + brisk Zone 2 walk/jog</t>
        </is>
      </c>
    </row>
    <row r="6" ht="46" customHeight="1">
      <c r="B6" s="49" t="inlineStr">
        <is>
          <t>Tue — Back+Tri+VO2</t>
        </is>
      </c>
      <c r="C6" s="50" t="inlineStr">
        <is>
          <t>Weighted pull-ups, rows, pushdowns + bike VO2 intervals</t>
        </is>
      </c>
      <c r="D6" s="50" t="inlineStr">
        <is>
          <t>DB rows, bench dips + bike intervals</t>
        </is>
      </c>
      <c r="E6" s="50" t="inlineStr">
        <is>
          <t>Doorway/band rows, diamond push-ups + hill sprint repeats</t>
        </is>
      </c>
    </row>
    <row r="7" ht="46" customHeight="1">
      <c r="B7" s="44" t="inlineStr">
        <is>
          <t>Wed — Legs+Easy Run</t>
        </is>
      </c>
      <c r="C7" s="37" t="inlineStr">
        <is>
          <t>Squat, leg press, lunge, curl + easy run</t>
        </is>
      </c>
      <c r="D7" s="37" t="inlineStr">
        <is>
          <t>Goblet squat, DB lunge, leg curl + treadmill easy run</t>
        </is>
      </c>
      <c r="E7" s="37" t="inlineStr">
        <is>
          <t>Bulgarian split squat, step-ups, tempo squats + outdoor easy run</t>
        </is>
      </c>
    </row>
    <row r="8" ht="46" customHeight="1">
      <c r="B8" s="49" t="inlineStr">
        <is>
          <t>Thu — Shoulders+Thresh</t>
        </is>
      </c>
      <c r="C8" s="50" t="inlineStr">
        <is>
          <t>OHP, laterals, rear delts + bike threshold</t>
        </is>
      </c>
      <c r="D8" s="50" t="inlineStr">
        <is>
          <t>DB press &amp; raises + bike threshold</t>
        </is>
      </c>
      <c r="E8" s="50" t="inlineStr">
        <is>
          <t>Pike push-ups, band laterals, backpack press + hill tempo</t>
        </is>
      </c>
    </row>
    <row r="9" ht="46" customHeight="1">
      <c r="B9" s="44" t="inlineStr">
        <is>
          <t>Fri — Density+Hybrid</t>
        </is>
      </c>
      <c r="C9" s="37" t="inlineStr">
        <is>
          <t>Bench/row supersets + carries/burpees/lunges</t>
        </is>
      </c>
      <c r="D9" s="37" t="inlineStr">
        <is>
          <t>DB density supersets + DB carries/burpees</t>
        </is>
      </c>
      <c r="E9" s="37" t="inlineStr">
        <is>
          <t>Push-up/row ladders + bag carries, burpees, lunges</t>
        </is>
      </c>
    </row>
    <row r="10" ht="46" customHeight="1">
      <c r="B10" s="49" t="inlineStr">
        <is>
          <t>Sat — Legs PC+Long Ride</t>
        </is>
      </c>
      <c r="C10" s="50" t="inlineStr">
        <is>
          <t>Deadlift/RDL, hip thrust, Nordic + long ride</t>
        </is>
      </c>
      <c r="D10" s="50" t="inlineStr">
        <is>
          <t>DB RDL, hip thrust + long stationary ride</t>
        </is>
      </c>
      <c r="E10" s="50" t="inlineStr">
        <is>
          <t>Single-leg RDL, hip bridges + long Zone 2 ride or run</t>
        </is>
      </c>
    </row>
    <row r="11" ht="46" customHeight="1">
      <c r="B11" s="44" t="inlineStr">
        <is>
          <t>Sun — Arms+Core+Long Run</t>
        </is>
      </c>
      <c r="C11" s="37" t="inlineStr">
        <is>
          <t>Curls, extensions, core + long run</t>
        </is>
      </c>
      <c r="D11" s="37" t="inlineStr">
        <is>
          <t>DB arms + core circuit + treadmill long run</t>
        </is>
      </c>
      <c r="E11" s="37" t="inlineStr">
        <is>
          <t>Band curls, dips, planks + long easy outdoor run</t>
        </is>
      </c>
    </row>
    <row r="13" ht="24" customHeight="1">
      <c r="A13" s="3" t="inlineStr">
        <is>
          <t>FATIGUE SUBSTITUTIONS (recovery &lt;5/10 or HRV down)</t>
        </is>
      </c>
    </row>
    <row r="14" ht="26" customHeight="1">
      <c r="A14" s="5" t="inlineStr"/>
      <c r="B14" s="5" t="inlineStr">
        <is>
          <t>Situation</t>
        </is>
      </c>
      <c r="C14" s="5" t="inlineStr">
        <is>
          <t>Swap To</t>
        </is>
      </c>
      <c r="D14" s="5" t="inlineStr">
        <is>
          <t>Why</t>
        </is>
      </c>
      <c r="E14" s="5" t="inlineStr">
        <is>
          <t>Keep</t>
        </is>
      </c>
    </row>
    <row r="15" ht="30" customHeight="1">
      <c r="B15" s="44" t="inlineStr">
        <is>
          <t>Very low recovery</t>
        </is>
      </c>
      <c r="C15" s="37" t="inlineStr">
        <is>
          <t>Mobility + 20-30 min Zone 2 walk</t>
        </is>
      </c>
      <c r="D15" s="37" t="inlineStr">
        <is>
          <t>Protect the nervous system</t>
        </is>
      </c>
      <c r="E15" s="37" t="inlineStr">
        <is>
          <t>Sleep, hydration, protein</t>
        </is>
      </c>
    </row>
    <row r="16" ht="30" customHeight="1">
      <c r="B16" s="49" t="inlineStr">
        <is>
          <t>Poor sleep (&lt;6h)</t>
        </is>
      </c>
      <c r="C16" s="50" t="inlineStr">
        <is>
          <t>Drop top sets, cut volume 30-40%</t>
        </is>
      </c>
      <c r="D16" s="50" t="inlineStr">
        <is>
          <t>Avoid injury &amp; junk fatigue</t>
        </is>
      </c>
      <c r="E16" s="50" t="inlineStr">
        <is>
          <t>Technique &amp; easy aerobic</t>
        </is>
      </c>
    </row>
    <row r="17" ht="30" customHeight="1">
      <c r="B17" s="44" t="inlineStr">
        <is>
          <t>Travel / jet-lag</t>
        </is>
      </c>
      <c r="C17" s="37" t="inlineStr">
        <is>
          <t>No-gym bodyweight + carries</t>
        </is>
      </c>
      <c r="D17" s="37" t="inlineStr">
        <is>
          <t>Maintain habit &amp; stimulus</t>
        </is>
      </c>
      <c r="E17" s="37" t="inlineStr">
        <is>
          <t>Daily mobility &amp; light</t>
        </is>
      </c>
    </row>
    <row r="18" ht="30" customHeight="1">
      <c r="B18" s="49" t="inlineStr">
        <is>
          <t>Niggle / minor pain</t>
        </is>
      </c>
      <c r="C18" s="50" t="inlineStr">
        <is>
          <t>Swap painful pattern for pain-free</t>
        </is>
      </c>
      <c r="D18" s="50" t="inlineStr">
        <is>
          <t>Train around, not through</t>
        </is>
      </c>
      <c r="E18" s="50" t="inlineStr">
        <is>
          <t>Unaffected movements</t>
        </is>
      </c>
    </row>
    <row r="19" ht="30" customHeight="1">
      <c r="B19" s="44" t="inlineStr">
        <is>
          <t>Sickness</t>
        </is>
      </c>
      <c r="C19" s="37" t="inlineStr">
        <is>
          <t>Rest or gentle walk only</t>
        </is>
      </c>
      <c r="D19" s="37" t="inlineStr">
        <is>
          <t>Recover fully before loading</t>
        </is>
      </c>
      <c r="E19" s="37" t="inlineStr">
        <is>
          <t>Hydration &amp; sleep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26" customWidth="1" min="4" max="4"/>
    <col width="26" customWidth="1" min="5" max="5"/>
    <col width="26" customWidth="1" min="6" max="6"/>
    <col width="34" customWidth="1" min="7" max="7"/>
  </cols>
  <sheetData>
    <row r="1" ht="34" customHeight="1">
      <c r="A1" s="1" t="inlineStr">
        <is>
          <t>EXERCISE LIBRARY</t>
        </is>
      </c>
    </row>
    <row r="2" ht="20" customHeight="1">
      <c r="A2" s="2" t="inlineStr">
        <is>
          <t>Every movement, its purpose, gym/hotel/no-gym equivalents and progression rule.</t>
        </is>
      </c>
    </row>
    <row r="4" ht="28" customHeight="1">
      <c r="A4" s="5" t="inlineStr"/>
      <c r="B4" s="5" t="inlineStr">
        <is>
          <t>Exercise</t>
        </is>
      </c>
      <c r="C4" s="5" t="inlineStr">
        <is>
          <t>Purpose</t>
        </is>
      </c>
      <c r="D4" s="5" t="inlineStr">
        <is>
          <t>Full Gym</t>
        </is>
      </c>
      <c r="E4" s="5" t="inlineStr">
        <is>
          <t>Hotel Gym</t>
        </is>
      </c>
      <c r="F4" s="5" t="inlineStr">
        <is>
          <t>No Gym</t>
        </is>
      </c>
      <c r="G4" s="5" t="inlineStr">
        <is>
          <t>Progression Rule</t>
        </is>
      </c>
    </row>
    <row r="5" ht="26" customHeight="1">
      <c r="B5" s="44" t="inlineStr">
        <is>
          <t>Bench Press</t>
        </is>
      </c>
      <c r="C5" s="37" t="inlineStr">
        <is>
          <t>Horizontal press strength/size</t>
        </is>
      </c>
      <c r="D5" s="37" t="inlineStr">
        <is>
          <t>Barbell bench</t>
        </is>
      </c>
      <c r="E5" s="37" t="inlineStr">
        <is>
          <t>DB bench press</t>
        </is>
      </c>
      <c r="F5" s="37" t="inlineStr">
        <is>
          <t>Deficit push-up</t>
        </is>
      </c>
      <c r="G5" s="37" t="inlineStr">
        <is>
          <t>+2.5kg when 4x6 @ RPE7</t>
        </is>
      </c>
    </row>
    <row r="6" ht="26" customHeight="1">
      <c r="B6" s="49" t="inlineStr">
        <is>
          <t>Incline DB Press</t>
        </is>
      </c>
      <c r="C6" s="50" t="inlineStr">
        <is>
          <t>Upper chest</t>
        </is>
      </c>
      <c r="D6" s="50" t="inlineStr">
        <is>
          <t>Incline DB press</t>
        </is>
      </c>
      <c r="E6" s="50" t="inlineStr">
        <is>
          <t>Incline DB press</t>
        </is>
      </c>
      <c r="F6" s="50" t="inlineStr">
        <is>
          <t>Feet-elevated push-up</t>
        </is>
      </c>
      <c r="G6" s="50" t="inlineStr">
        <is>
          <t>Add reps then load</t>
        </is>
      </c>
    </row>
    <row r="7" ht="26" customHeight="1">
      <c r="B7" s="44" t="inlineStr">
        <is>
          <t>Weighted Dip</t>
        </is>
      </c>
      <c r="C7" s="37" t="inlineStr">
        <is>
          <t>Lower chest, triceps</t>
        </is>
      </c>
      <c r="D7" s="37" t="inlineStr">
        <is>
          <t>Dip belt</t>
        </is>
      </c>
      <c r="E7" s="37" t="inlineStr">
        <is>
          <t>Bench dip + pause</t>
        </is>
      </c>
      <c r="F7" s="37" t="inlineStr">
        <is>
          <t>Chair/parallel dips</t>
        </is>
      </c>
      <c r="G7" s="37" t="inlineStr">
        <is>
          <t>Add load weekly</t>
        </is>
      </c>
    </row>
    <row r="8" ht="26" customHeight="1">
      <c r="B8" s="49" t="inlineStr">
        <is>
          <t>Cable Fly</t>
        </is>
      </c>
      <c r="C8" s="50" t="inlineStr">
        <is>
          <t>Chest isolation/pump</t>
        </is>
      </c>
      <c r="D8" s="50" t="inlineStr">
        <is>
          <t>Cable fly</t>
        </is>
      </c>
      <c r="E8" s="50" t="inlineStr">
        <is>
          <t>DB fly</t>
        </is>
      </c>
      <c r="F8" s="50" t="inlineStr">
        <is>
          <t>Band fly</t>
        </is>
      </c>
      <c r="G8" s="50" t="inlineStr">
        <is>
          <t>Add reps, constant tension</t>
        </is>
      </c>
    </row>
    <row r="9" ht="26" customHeight="1">
      <c r="B9" s="44" t="inlineStr">
        <is>
          <t>Pull-up</t>
        </is>
      </c>
      <c r="C9" s="37" t="inlineStr">
        <is>
          <t>Vertical pull, lats</t>
        </is>
      </c>
      <c r="D9" s="37" t="inlineStr">
        <is>
          <t>Weighted pull-up</t>
        </is>
      </c>
      <c r="E9" s="37" t="inlineStr">
        <is>
          <t>Assisted/BW pull-up</t>
        </is>
      </c>
      <c r="F9" s="37" t="inlineStr">
        <is>
          <t>Doorway/towel row</t>
        </is>
      </c>
      <c r="G9" s="37" t="inlineStr">
        <is>
          <t>Add load or reps</t>
        </is>
      </c>
    </row>
    <row r="10" ht="26" customHeight="1">
      <c r="B10" s="49" t="inlineStr">
        <is>
          <t>Barbell Row</t>
        </is>
      </c>
      <c r="C10" s="50" t="inlineStr">
        <is>
          <t>Horizontal pull, back thickness</t>
        </is>
      </c>
      <c r="D10" s="50" t="inlineStr">
        <is>
          <t>Barbell row</t>
        </is>
      </c>
      <c r="E10" s="50" t="inlineStr">
        <is>
          <t>DB row</t>
        </is>
      </c>
      <c r="F10" s="50" t="inlineStr">
        <is>
          <t>Band/backpack row</t>
        </is>
      </c>
      <c r="G10" s="50" t="inlineStr">
        <is>
          <t>+load when reps hit top</t>
        </is>
      </c>
    </row>
    <row r="11" ht="26" customHeight="1">
      <c r="B11" s="44" t="inlineStr">
        <is>
          <t>Lat Pulldown</t>
        </is>
      </c>
      <c r="C11" s="37" t="inlineStr">
        <is>
          <t>Vertical pull volume</t>
        </is>
      </c>
      <c r="D11" s="37" t="inlineStr">
        <is>
          <t>Lat pulldown</t>
        </is>
      </c>
      <c r="E11" s="37" t="inlineStr">
        <is>
          <t>Band pulldown</t>
        </is>
      </c>
      <c r="F11" s="37" t="inlineStr">
        <is>
          <t>Band pulldown</t>
        </is>
      </c>
      <c r="G11" s="37" t="inlineStr">
        <is>
          <t>Add reps then load</t>
        </is>
      </c>
    </row>
    <row r="12" ht="26" customHeight="1">
      <c r="B12" s="49" t="inlineStr">
        <is>
          <t>Face Pull</t>
        </is>
      </c>
      <c r="C12" s="50" t="inlineStr">
        <is>
          <t>Rear delts, shoulder health</t>
        </is>
      </c>
      <c r="D12" s="50" t="inlineStr">
        <is>
          <t>Cable face pull</t>
        </is>
      </c>
      <c r="E12" s="50" t="inlineStr">
        <is>
          <t>Band face pull</t>
        </is>
      </c>
      <c r="F12" s="50" t="inlineStr">
        <is>
          <t>Band pull-apart</t>
        </is>
      </c>
      <c r="G12" s="50" t="inlineStr">
        <is>
          <t>Daily-able, add reps</t>
        </is>
      </c>
    </row>
    <row r="13" ht="26" customHeight="1">
      <c r="B13" s="44" t="inlineStr">
        <is>
          <t>Overhead Press</t>
        </is>
      </c>
      <c r="C13" s="37" t="inlineStr">
        <is>
          <t>Shoulder strength</t>
        </is>
      </c>
      <c r="D13" s="37" t="inlineStr">
        <is>
          <t>Barbell OHP</t>
        </is>
      </c>
      <c r="E13" s="37" t="inlineStr">
        <is>
          <t>DB press</t>
        </is>
      </c>
      <c r="F13" s="37" t="inlineStr">
        <is>
          <t>Backpack press</t>
        </is>
      </c>
      <c r="G13" s="37" t="inlineStr">
        <is>
          <t>+2.5kg when 5x5 clean</t>
        </is>
      </c>
    </row>
    <row r="14" ht="26" customHeight="1">
      <c r="B14" s="49" t="inlineStr">
        <is>
          <t>Lateral Raise</t>
        </is>
      </c>
      <c r="C14" s="50" t="inlineStr">
        <is>
          <t>Side delts, width</t>
        </is>
      </c>
      <c r="D14" s="50" t="inlineStr">
        <is>
          <t>DB/cable raise</t>
        </is>
      </c>
      <c r="E14" s="50" t="inlineStr">
        <is>
          <t>DB raise</t>
        </is>
      </c>
      <c r="F14" s="50" t="inlineStr">
        <is>
          <t>Band lateral</t>
        </is>
      </c>
      <c r="G14" s="50" t="inlineStr">
        <is>
          <t>Add reps, strict form</t>
        </is>
      </c>
    </row>
    <row r="15" ht="26" customHeight="1">
      <c r="B15" s="44" t="inlineStr">
        <is>
          <t>Back Squat</t>
        </is>
      </c>
      <c r="C15" s="37" t="inlineStr">
        <is>
          <t>Quad/glute strength</t>
        </is>
      </c>
      <c r="D15" s="37" t="inlineStr">
        <is>
          <t>Barbell squat</t>
        </is>
      </c>
      <c r="E15" s="37" t="inlineStr">
        <is>
          <t>Goblet squat</t>
        </is>
      </c>
      <c r="F15" s="37" t="inlineStr">
        <is>
          <t>Bulgarian split squat</t>
        </is>
      </c>
      <c r="G15" s="37" t="inlineStr">
        <is>
          <t>Reps before load</t>
        </is>
      </c>
    </row>
    <row r="16" ht="26" customHeight="1">
      <c r="B16" s="49" t="inlineStr">
        <is>
          <t>Leg Press</t>
        </is>
      </c>
      <c r="C16" s="50" t="inlineStr">
        <is>
          <t>Quad volume</t>
        </is>
      </c>
      <c r="D16" s="50" t="inlineStr">
        <is>
          <t>Leg press</t>
        </is>
      </c>
      <c r="E16" s="50" t="inlineStr">
        <is>
          <t>DB squat</t>
        </is>
      </c>
      <c r="F16" s="50" t="inlineStr">
        <is>
          <t>Tempo squat / step-up</t>
        </is>
      </c>
      <c r="G16" s="50" t="inlineStr">
        <is>
          <t>Add load weekly</t>
        </is>
      </c>
    </row>
    <row r="17" ht="26" customHeight="1">
      <c r="B17" s="44" t="inlineStr">
        <is>
          <t>Walking Lunge</t>
        </is>
      </c>
      <c r="C17" s="37" t="inlineStr">
        <is>
          <t>Unilateral legs</t>
        </is>
      </c>
      <c r="D17" s="37" t="inlineStr">
        <is>
          <t>Barbell/DB lunge</t>
        </is>
      </c>
      <c r="E17" s="37" t="inlineStr">
        <is>
          <t>DB lunge</t>
        </is>
      </c>
      <c r="F17" s="37" t="inlineStr">
        <is>
          <t>Bodyweight/loaded lunge</t>
        </is>
      </c>
      <c r="G17" s="37" t="inlineStr">
        <is>
          <t>Add distance/load</t>
        </is>
      </c>
    </row>
    <row r="18" ht="26" customHeight="1">
      <c r="B18" s="49" t="inlineStr">
        <is>
          <t>Deadlift</t>
        </is>
      </c>
      <c r="C18" s="50" t="inlineStr">
        <is>
          <t>Posterior chain strength</t>
        </is>
      </c>
      <c r="D18" s="50" t="inlineStr">
        <is>
          <t>Barbell deadlift</t>
        </is>
      </c>
      <c r="E18" s="50" t="inlineStr">
        <is>
          <t>DB RDL</t>
        </is>
      </c>
      <c r="F18" s="50" t="inlineStr">
        <is>
          <t>Single-leg RDL</t>
        </is>
      </c>
      <c r="G18" s="50" t="inlineStr">
        <is>
          <t>+5kg in Progression wk</t>
        </is>
      </c>
    </row>
    <row r="19" ht="26" customHeight="1">
      <c r="B19" s="44" t="inlineStr">
        <is>
          <t>Romanian Deadlift</t>
        </is>
      </c>
      <c r="C19" s="37" t="inlineStr">
        <is>
          <t>Hamstrings/glutes</t>
        </is>
      </c>
      <c r="D19" s="37" t="inlineStr">
        <is>
          <t>Barbell RDL</t>
        </is>
      </c>
      <c r="E19" s="37" t="inlineStr">
        <is>
          <t>DB RDL</t>
        </is>
      </c>
      <c r="F19" s="37" t="inlineStr">
        <is>
          <t>Single-leg RDL</t>
        </is>
      </c>
      <c r="G19" s="37" t="inlineStr">
        <is>
          <t>Slow eccentric, add load</t>
        </is>
      </c>
    </row>
    <row r="20" ht="26" customHeight="1">
      <c r="B20" s="49" t="inlineStr">
        <is>
          <t>Hip Thrust</t>
        </is>
      </c>
      <c r="C20" s="50" t="inlineStr">
        <is>
          <t>Glute power</t>
        </is>
      </c>
      <c r="D20" s="50" t="inlineStr">
        <is>
          <t>Barbell hip thrust</t>
        </is>
      </c>
      <c r="E20" s="50" t="inlineStr">
        <is>
          <t>DB hip thrust</t>
        </is>
      </c>
      <c r="F20" s="50" t="inlineStr">
        <is>
          <t>Single-leg hip bridge</t>
        </is>
      </c>
      <c r="G20" s="50" t="inlineStr">
        <is>
          <t>Add load/reps</t>
        </is>
      </c>
    </row>
    <row r="21" ht="26" customHeight="1">
      <c r="B21" s="44" t="inlineStr">
        <is>
          <t>Nordic Curl</t>
        </is>
      </c>
      <c r="C21" s="37" t="inlineStr">
        <is>
          <t>Hamstring eccentric</t>
        </is>
      </c>
      <c r="D21" s="37" t="inlineStr">
        <is>
          <t>Nordic/leg curl</t>
        </is>
      </c>
      <c r="E21" s="37" t="inlineStr">
        <is>
          <t>Partner/band Nordic</t>
        </is>
      </c>
      <c r="F21" s="37" t="inlineStr">
        <is>
          <t>Sliding leg curl</t>
        </is>
      </c>
      <c r="G21" s="37" t="inlineStr">
        <is>
          <t>Add reps slowly</t>
        </is>
      </c>
    </row>
    <row r="22" ht="26" customHeight="1">
      <c r="B22" s="49" t="inlineStr">
        <is>
          <t>Calf Raise</t>
        </is>
      </c>
      <c r="C22" s="50" t="inlineStr">
        <is>
          <t>Calves, Achilles</t>
        </is>
      </c>
      <c r="D22" s="50" t="inlineStr">
        <is>
          <t>Standing calf raise</t>
        </is>
      </c>
      <c r="E22" s="50" t="inlineStr">
        <is>
          <t>DB calf raise</t>
        </is>
      </c>
      <c r="F22" s="50" t="inlineStr">
        <is>
          <t>Single-leg calf raise</t>
        </is>
      </c>
      <c r="G22" s="50" t="inlineStr">
        <is>
          <t>Add reps then load</t>
        </is>
      </c>
    </row>
    <row r="23" ht="26" customHeight="1">
      <c r="B23" s="44" t="inlineStr">
        <is>
          <t>Barbell/DB Curl</t>
        </is>
      </c>
      <c r="C23" s="37" t="inlineStr">
        <is>
          <t>Biceps</t>
        </is>
      </c>
      <c r="D23" s="37" t="inlineStr">
        <is>
          <t>Barbell curl</t>
        </is>
      </c>
      <c r="E23" s="37" t="inlineStr">
        <is>
          <t>DB curl</t>
        </is>
      </c>
      <c r="F23" s="37" t="inlineStr">
        <is>
          <t>Band curl</t>
        </is>
      </c>
      <c r="G23" s="37" t="inlineStr">
        <is>
          <t>Add a set in wk2</t>
        </is>
      </c>
    </row>
    <row r="24" ht="26" customHeight="1">
      <c r="B24" s="49" t="inlineStr">
        <is>
          <t>Skullcrusher</t>
        </is>
      </c>
      <c r="C24" s="50" t="inlineStr">
        <is>
          <t>Triceps</t>
        </is>
      </c>
      <c r="D24" s="50" t="inlineStr">
        <is>
          <t>EZ skullcrusher</t>
        </is>
      </c>
      <c r="E24" s="50" t="inlineStr">
        <is>
          <t>DB extension</t>
        </is>
      </c>
      <c r="F24" s="50" t="inlineStr">
        <is>
          <t>Band/bench dips</t>
        </is>
      </c>
      <c r="G24" s="50" t="inlineStr">
        <is>
          <t>Add reps then load</t>
        </is>
      </c>
    </row>
    <row r="25" ht="26" customHeight="1">
      <c r="B25" s="44" t="inlineStr">
        <is>
          <t>Hanging Leg Raise</t>
        </is>
      </c>
      <c r="C25" s="37" t="inlineStr">
        <is>
          <t>Lower core</t>
        </is>
      </c>
      <c r="D25" s="37" t="inlineStr">
        <is>
          <t>Hanging leg raise</t>
        </is>
      </c>
      <c r="E25" s="37" t="inlineStr">
        <is>
          <t>Lying leg raise</t>
        </is>
      </c>
      <c r="F25" s="37" t="inlineStr">
        <is>
          <t>Lying leg raise</t>
        </is>
      </c>
      <c r="G25" s="37" t="inlineStr">
        <is>
          <t>Add reps / add load</t>
        </is>
      </c>
    </row>
    <row r="26" ht="26" customHeight="1">
      <c r="B26" s="49" t="inlineStr">
        <is>
          <t>Plank / Pallof</t>
        </is>
      </c>
      <c r="C26" s="50" t="inlineStr">
        <is>
          <t>Anti-extension/rotation core</t>
        </is>
      </c>
      <c r="D26" s="50" t="inlineStr">
        <is>
          <t>Cable pallof</t>
        </is>
      </c>
      <c r="E26" s="50" t="inlineStr">
        <is>
          <t>Band pallof</t>
        </is>
      </c>
      <c r="F26" s="50" t="inlineStr">
        <is>
          <t>Plank holds</t>
        </is>
      </c>
      <c r="G26" s="50" t="inlineStr">
        <is>
          <t>Add time/load</t>
        </is>
      </c>
    </row>
    <row r="27" ht="26" customHeight="1">
      <c r="B27" s="44" t="inlineStr">
        <is>
          <t>Loaded Carry</t>
        </is>
      </c>
      <c r="C27" s="37" t="inlineStr">
        <is>
          <t>Grip, core, work capacity</t>
        </is>
      </c>
      <c r="D27" s="37" t="inlineStr">
        <is>
          <t>Farmer handles</t>
        </is>
      </c>
      <c r="E27" s="37" t="inlineStr">
        <is>
          <t>DB/KB carry</t>
        </is>
      </c>
      <c r="F27" s="37" t="inlineStr">
        <is>
          <t>Bag/backpack carry</t>
        </is>
      </c>
      <c r="G27" s="37" t="inlineStr">
        <is>
          <t>Add load/distance</t>
        </is>
      </c>
    </row>
    <row r="28" ht="26" customHeight="1">
      <c r="B28" s="49" t="inlineStr">
        <is>
          <t>Kettlebell Swing</t>
        </is>
      </c>
      <c r="C28" s="50" t="inlineStr">
        <is>
          <t>Hinge power, conditioning</t>
        </is>
      </c>
      <c r="D28" s="50" t="inlineStr">
        <is>
          <t>KB swing</t>
        </is>
      </c>
      <c r="E28" s="50" t="inlineStr">
        <is>
          <t>DB swing</t>
        </is>
      </c>
      <c r="F28" s="50" t="inlineStr">
        <is>
          <t>Backpack swing/jump</t>
        </is>
      </c>
      <c r="G28" s="50" t="inlineStr">
        <is>
          <t>Add reps/load</t>
        </is>
      </c>
    </row>
    <row r="29" ht="26" customHeight="1">
      <c r="B29" s="44" t="inlineStr">
        <is>
          <t>Burpee</t>
        </is>
      </c>
      <c r="C29" s="37" t="inlineStr">
        <is>
          <t>Full-body conditioning</t>
        </is>
      </c>
      <c r="D29" s="37" t="inlineStr">
        <is>
          <t>Burpee</t>
        </is>
      </c>
      <c r="E29" s="37" t="inlineStr">
        <is>
          <t>Burpee</t>
        </is>
      </c>
      <c r="F29" s="37" t="inlineStr">
        <is>
          <t>Burpee</t>
        </is>
      </c>
      <c r="G29" s="37" t="inlineStr">
        <is>
          <t>Add reps / pace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07A1F"/>
    <outlinePr summaryBelow="1" summaryRight="1"/>
    <pageSetUpPr/>
  </sheetPr>
  <dimension ref="A1:L1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2" customWidth="1" min="4" max="4"/>
    <col width="22" customWidth="1" min="5" max="5"/>
    <col width="16" customWidth="1" min="6" max="6"/>
    <col width="8" customWidth="1" min="7" max="7"/>
    <col width="12" customWidth="1" min="8" max="8"/>
    <col width="12" customWidth="1" min="9" max="9"/>
    <col width="10" customWidth="1" min="10" max="10"/>
    <col width="10" customWidth="1" min="11" max="11"/>
    <col width="34" customWidth="1" min="12" max="12"/>
  </cols>
  <sheetData>
    <row r="1" ht="34" customHeight="1">
      <c r="A1" s="1" t="inlineStr">
        <is>
          <t>DAILY LOG</t>
        </is>
      </c>
    </row>
    <row r="2" ht="20" customHeight="1">
      <c r="A2" s="2" t="inlineStr">
        <is>
          <t>Editable training log. Dropdowns for completion &amp; RPE. Pulls dates/focus from the plan.</t>
        </is>
      </c>
    </row>
    <row r="4" ht="28" customHeight="1">
      <c r="A4" s="5" t="inlineStr">
        <is>
          <t>Day</t>
        </is>
      </c>
      <c r="B4" s="5" t="inlineStr">
        <is>
          <t>Wk</t>
        </is>
      </c>
      <c r="C4" s="5" t="inlineStr">
        <is>
          <t>Date</t>
        </is>
      </c>
      <c r="D4" s="5" t="inlineStr">
        <is>
          <t>Weekday</t>
        </is>
      </c>
      <c r="E4" s="5" t="inlineStr">
        <is>
          <t>Planned Focus</t>
        </is>
      </c>
      <c r="F4" s="5" t="inlineStr">
        <is>
          <t>Completed</t>
        </is>
      </c>
      <c r="G4" s="5" t="inlineStr">
        <is>
          <t>RPE</t>
        </is>
      </c>
      <c r="H4" s="5" t="inlineStr">
        <is>
          <t>Weight kg</t>
        </is>
      </c>
      <c r="I4" s="5" t="inlineStr">
        <is>
          <t>Sleep h</t>
        </is>
      </c>
      <c r="J4" s="5" t="inlineStr">
        <is>
          <t>HRV</t>
        </is>
      </c>
      <c r="K4" s="5" t="inlineStr">
        <is>
          <t>Mood</t>
        </is>
      </c>
      <c r="L4" s="5" t="inlineStr">
        <is>
          <t>Notes</t>
        </is>
      </c>
    </row>
    <row r="5" ht="20" customHeight="1">
      <c r="A5" s="28" t="n">
        <v>1</v>
      </c>
      <c r="B5" s="28" t="n">
        <v>1</v>
      </c>
      <c r="C5" s="43" t="n">
        <v>46195</v>
      </c>
      <c r="D5" s="28" t="inlineStr">
        <is>
          <t>Monday</t>
        </is>
      </c>
      <c r="E5" s="7" t="inlineStr">
        <is>
          <t>Chest + Biceps + Zone 2 Cycle 40 min</t>
        </is>
      </c>
      <c r="F5" s="45" t="n"/>
      <c r="G5" s="45" t="n"/>
      <c r="H5" s="45" t="n"/>
      <c r="I5" s="45" t="n"/>
      <c r="J5" s="45" t="n"/>
      <c r="K5" s="45" t="n"/>
      <c r="L5" s="37" t="n"/>
    </row>
    <row r="6" ht="20" customHeight="1">
      <c r="A6" s="28" t="n">
        <v>2</v>
      </c>
      <c r="B6" s="28" t="n">
        <v>1</v>
      </c>
      <c r="C6" s="43" t="n">
        <v>46196</v>
      </c>
      <c r="D6" s="28" t="inlineStr">
        <is>
          <t>Tuesday</t>
        </is>
      </c>
      <c r="E6" s="7" t="inlineStr">
        <is>
          <t>Back + Triceps + VO2 Bike 5x3min</t>
        </is>
      </c>
      <c r="F6" s="45" t="n"/>
      <c r="G6" s="45" t="n"/>
      <c r="H6" s="45" t="n"/>
      <c r="I6" s="45" t="n"/>
      <c r="J6" s="45" t="n"/>
      <c r="K6" s="45" t="n"/>
      <c r="L6" s="37" t="n"/>
    </row>
    <row r="7" ht="20" customHeight="1">
      <c r="A7" s="28" t="n">
        <v>3</v>
      </c>
      <c r="B7" s="28" t="n">
        <v>1</v>
      </c>
      <c r="C7" s="43" t="n">
        <v>46197</v>
      </c>
      <c r="D7" s="28" t="inlineStr">
        <is>
          <t>Wednesday</t>
        </is>
      </c>
      <c r="E7" s="7" t="inlineStr">
        <is>
          <t>Legs Volume + Easy Run 30 min</t>
        </is>
      </c>
      <c r="F7" s="45" t="n"/>
      <c r="G7" s="45" t="n"/>
      <c r="H7" s="45" t="n"/>
      <c r="I7" s="45" t="n"/>
      <c r="J7" s="45" t="n"/>
      <c r="K7" s="45" t="n"/>
      <c r="L7" s="37" t="n"/>
    </row>
    <row r="8" ht="20" customHeight="1">
      <c r="A8" s="28" t="n">
        <v>4</v>
      </c>
      <c r="B8" s="28" t="n">
        <v>1</v>
      </c>
      <c r="C8" s="43" t="n">
        <v>46198</v>
      </c>
      <c r="D8" s="28" t="inlineStr">
        <is>
          <t>Thursday</t>
        </is>
      </c>
      <c r="E8" s="7" t="inlineStr">
        <is>
          <t>Shoulders + Threshold Cycle 2x10min</t>
        </is>
      </c>
      <c r="F8" s="45" t="n"/>
      <c r="G8" s="45" t="n"/>
      <c r="H8" s="45" t="n"/>
      <c r="I8" s="45" t="n"/>
      <c r="J8" s="45" t="n"/>
      <c r="K8" s="45" t="n"/>
      <c r="L8" s="37" t="n"/>
    </row>
    <row r="9" ht="20" customHeight="1">
      <c r="A9" s="28" t="n">
        <v>5</v>
      </c>
      <c r="B9" s="28" t="n">
        <v>1</v>
      </c>
      <c r="C9" s="43" t="n">
        <v>46199</v>
      </c>
      <c r="D9" s="28" t="inlineStr">
        <is>
          <t>Friday</t>
        </is>
      </c>
      <c r="E9" s="7" t="inlineStr">
        <is>
          <t>Chest + Back Density + Hybrid 3 rounds: 40m carry + 12 burpees + 20 lunges</t>
        </is>
      </c>
      <c r="F9" s="45" t="n"/>
      <c r="G9" s="45" t="n"/>
      <c r="H9" s="45" t="n"/>
      <c r="I9" s="45" t="n"/>
      <c r="J9" s="45" t="n"/>
      <c r="K9" s="45" t="n"/>
      <c r="L9" s="37" t="n"/>
    </row>
    <row r="10" ht="20" customHeight="1">
      <c r="A10" s="28" t="n">
        <v>6</v>
      </c>
      <c r="B10" s="28" t="n">
        <v>1</v>
      </c>
      <c r="C10" s="43" t="n">
        <v>46200</v>
      </c>
      <c r="D10" s="28" t="inlineStr">
        <is>
          <t>Saturday</t>
        </is>
      </c>
      <c r="E10" s="7" t="inlineStr">
        <is>
          <t>Legs + Posterior Chain + Long Ride 1h30 Zone 2</t>
        </is>
      </c>
      <c r="F10" s="45" t="n"/>
      <c r="G10" s="45" t="n"/>
      <c r="H10" s="45" t="n"/>
      <c r="I10" s="45" t="n"/>
      <c r="J10" s="45" t="n"/>
      <c r="K10" s="45" t="n"/>
      <c r="L10" s="37" t="n"/>
    </row>
    <row r="11" ht="20" customHeight="1">
      <c r="A11" s="28" t="n">
        <v>7</v>
      </c>
      <c r="B11" s="28" t="n">
        <v>1</v>
      </c>
      <c r="C11" s="43" t="n">
        <v>46201</v>
      </c>
      <c r="D11" s="28" t="inlineStr">
        <is>
          <t>Sunday</t>
        </is>
      </c>
      <c r="E11" s="7" t="inlineStr">
        <is>
          <t>Arms + Core + Long Run 45 min easy (Zone 2)</t>
        </is>
      </c>
      <c r="F11" s="45" t="n"/>
      <c r="G11" s="45" t="n"/>
      <c r="H11" s="45" t="n"/>
      <c r="I11" s="45" t="n"/>
      <c r="J11" s="45" t="n"/>
      <c r="K11" s="45" t="n"/>
      <c r="L11" s="37" t="n"/>
    </row>
    <row r="12" ht="20" customHeight="1">
      <c r="A12" s="28" t="n">
        <v>8</v>
      </c>
      <c r="B12" s="28" t="n">
        <v>2</v>
      </c>
      <c r="C12" s="43" t="n">
        <v>46202</v>
      </c>
      <c r="D12" s="28" t="inlineStr">
        <is>
          <t>Monday</t>
        </is>
      </c>
      <c r="E12" s="7" t="inlineStr">
        <is>
          <t>Chest + Biceps + Zone 2 Cycle 40 min</t>
        </is>
      </c>
      <c r="F12" s="45" t="n"/>
      <c r="G12" s="45" t="n"/>
      <c r="H12" s="45" t="n"/>
      <c r="I12" s="45" t="n"/>
      <c r="J12" s="45" t="n"/>
      <c r="K12" s="45" t="n"/>
      <c r="L12" s="37" t="n"/>
    </row>
    <row r="13" ht="20" customHeight="1">
      <c r="A13" s="28" t="n">
        <v>9</v>
      </c>
      <c r="B13" s="28" t="n">
        <v>2</v>
      </c>
      <c r="C13" s="43" t="n">
        <v>46203</v>
      </c>
      <c r="D13" s="28" t="inlineStr">
        <is>
          <t>Tuesday</t>
        </is>
      </c>
      <c r="E13" s="7" t="inlineStr">
        <is>
          <t>Back + Triceps + VO2 Bike 5x3min</t>
        </is>
      </c>
      <c r="F13" s="45" t="n"/>
      <c r="G13" s="45" t="n"/>
      <c r="H13" s="45" t="n"/>
      <c r="I13" s="45" t="n"/>
      <c r="J13" s="45" t="n"/>
      <c r="K13" s="45" t="n"/>
      <c r="L13" s="37" t="n"/>
    </row>
    <row r="14" ht="20" customHeight="1">
      <c r="A14" s="28" t="n">
        <v>10</v>
      </c>
      <c r="B14" s="28" t="n">
        <v>2</v>
      </c>
      <c r="C14" s="43" t="n">
        <v>46204</v>
      </c>
      <c r="D14" s="28" t="inlineStr">
        <is>
          <t>Wednesday</t>
        </is>
      </c>
      <c r="E14" s="7" t="inlineStr">
        <is>
          <t>Legs Volume + Easy Run 30 min</t>
        </is>
      </c>
      <c r="F14" s="45" t="n"/>
      <c r="G14" s="45" t="n"/>
      <c r="H14" s="45" t="n"/>
      <c r="I14" s="45" t="n"/>
      <c r="J14" s="45" t="n"/>
      <c r="K14" s="45" t="n"/>
      <c r="L14" s="37" t="n"/>
    </row>
    <row r="15" ht="20" customHeight="1">
      <c r="A15" s="28" t="n">
        <v>11</v>
      </c>
      <c r="B15" s="28" t="n">
        <v>2</v>
      </c>
      <c r="C15" s="43" t="n">
        <v>46205</v>
      </c>
      <c r="D15" s="28" t="inlineStr">
        <is>
          <t>Thursday</t>
        </is>
      </c>
      <c r="E15" s="7" t="inlineStr">
        <is>
          <t>Shoulders + Threshold Cycle 2x12min</t>
        </is>
      </c>
      <c r="F15" s="45" t="n"/>
      <c r="G15" s="45" t="n"/>
      <c r="H15" s="45" t="n"/>
      <c r="I15" s="45" t="n"/>
      <c r="J15" s="45" t="n"/>
      <c r="K15" s="45" t="n"/>
      <c r="L15" s="37" t="n"/>
    </row>
    <row r="16" ht="20" customHeight="1">
      <c r="A16" s="28" t="n">
        <v>12</v>
      </c>
      <c r="B16" s="28" t="n">
        <v>2</v>
      </c>
      <c r="C16" s="43" t="n">
        <v>46206</v>
      </c>
      <c r="D16" s="28" t="inlineStr">
        <is>
          <t>Friday</t>
        </is>
      </c>
      <c r="E16" s="7" t="inlineStr">
        <is>
          <t>Chest + Back Density + Hybrid 4 rounds: 40m carry + 12 burpees + 20 lunges</t>
        </is>
      </c>
      <c r="F16" s="45" t="n"/>
      <c r="G16" s="45" t="n"/>
      <c r="H16" s="45" t="n"/>
      <c r="I16" s="45" t="n"/>
      <c r="J16" s="45" t="n"/>
      <c r="K16" s="45" t="n"/>
      <c r="L16" s="37" t="n"/>
    </row>
    <row r="17" ht="20" customHeight="1">
      <c r="A17" s="28" t="n">
        <v>13</v>
      </c>
      <c r="B17" s="28" t="n">
        <v>2</v>
      </c>
      <c r="C17" s="43" t="n">
        <v>46207</v>
      </c>
      <c r="D17" s="28" t="inlineStr">
        <is>
          <t>Saturday</t>
        </is>
      </c>
      <c r="E17" s="7" t="inlineStr">
        <is>
          <t>Legs + Posterior Chain + Long Ride 1h30 Zone 2</t>
        </is>
      </c>
      <c r="F17" s="45" t="n"/>
      <c r="G17" s="45" t="n"/>
      <c r="H17" s="45" t="n"/>
      <c r="I17" s="45" t="n"/>
      <c r="J17" s="45" t="n"/>
      <c r="K17" s="45" t="n"/>
      <c r="L17" s="37" t="n"/>
    </row>
    <row r="18" ht="20" customHeight="1">
      <c r="A18" s="28" t="n">
        <v>14</v>
      </c>
      <c r="B18" s="28" t="n">
        <v>2</v>
      </c>
      <c r="C18" s="43" t="n">
        <v>46208</v>
      </c>
      <c r="D18" s="28" t="inlineStr">
        <is>
          <t>Sunday</t>
        </is>
      </c>
      <c r="E18" s="7" t="inlineStr">
        <is>
          <t>Arms + Core + Long Run 45 min easy (Zone 2)</t>
        </is>
      </c>
      <c r="F18" s="45" t="n"/>
      <c r="G18" s="45" t="n"/>
      <c r="H18" s="45" t="n"/>
      <c r="I18" s="45" t="n"/>
      <c r="J18" s="45" t="n"/>
      <c r="K18" s="45" t="n"/>
      <c r="L18" s="37" t="n"/>
    </row>
    <row r="19" ht="20" customHeight="1">
      <c r="A19" s="28" t="n">
        <v>15</v>
      </c>
      <c r="B19" s="28" t="n">
        <v>3</v>
      </c>
      <c r="C19" s="43" t="n">
        <v>46209</v>
      </c>
      <c r="D19" s="28" t="inlineStr">
        <is>
          <t>Monday</t>
        </is>
      </c>
      <c r="E19" s="7" t="inlineStr">
        <is>
          <t>Chest + Biceps + Zone 2 Cycle 50 min</t>
        </is>
      </c>
      <c r="F19" s="45" t="n"/>
      <c r="G19" s="45" t="n"/>
      <c r="H19" s="45" t="n"/>
      <c r="I19" s="45" t="n"/>
      <c r="J19" s="45" t="n"/>
      <c r="K19" s="45" t="n"/>
      <c r="L19" s="37" t="n"/>
    </row>
    <row r="20" ht="20" customHeight="1">
      <c r="A20" s="28" t="n">
        <v>16</v>
      </c>
      <c r="B20" s="28" t="n">
        <v>3</v>
      </c>
      <c r="C20" s="43" t="n">
        <v>46210</v>
      </c>
      <c r="D20" s="28" t="inlineStr">
        <is>
          <t>Tuesday</t>
        </is>
      </c>
      <c r="E20" s="7" t="inlineStr">
        <is>
          <t>Back + Triceps + VO2 Bike 5x3min</t>
        </is>
      </c>
      <c r="F20" s="45" t="n"/>
      <c r="G20" s="45" t="n"/>
      <c r="H20" s="45" t="n"/>
      <c r="I20" s="45" t="n"/>
      <c r="J20" s="45" t="n"/>
      <c r="K20" s="45" t="n"/>
      <c r="L20" s="37" t="n"/>
    </row>
    <row r="21" ht="20" customHeight="1">
      <c r="A21" s="28" t="n">
        <v>17</v>
      </c>
      <c r="B21" s="28" t="n">
        <v>3</v>
      </c>
      <c r="C21" s="43" t="n">
        <v>46211</v>
      </c>
      <c r="D21" s="28" t="inlineStr">
        <is>
          <t>Wednesday</t>
        </is>
      </c>
      <c r="E21" s="7" t="inlineStr">
        <is>
          <t>Legs Volume + Easy Run 35 min</t>
        </is>
      </c>
      <c r="F21" s="45" t="n"/>
      <c r="G21" s="45" t="n"/>
      <c r="H21" s="45" t="n"/>
      <c r="I21" s="45" t="n"/>
      <c r="J21" s="45" t="n"/>
      <c r="K21" s="45" t="n"/>
      <c r="L21" s="37" t="n"/>
    </row>
    <row r="22" ht="20" customHeight="1">
      <c r="A22" s="28" t="n">
        <v>18</v>
      </c>
      <c r="B22" s="28" t="n">
        <v>3</v>
      </c>
      <c r="C22" s="43" t="n">
        <v>46212</v>
      </c>
      <c r="D22" s="28" t="inlineStr">
        <is>
          <t>Thursday</t>
        </is>
      </c>
      <c r="E22" s="7" t="inlineStr">
        <is>
          <t>Shoulders + Threshold Cycle 3x12min</t>
        </is>
      </c>
      <c r="F22" s="45" t="n"/>
      <c r="G22" s="45" t="n"/>
      <c r="H22" s="45" t="n"/>
      <c r="I22" s="45" t="n"/>
      <c r="J22" s="45" t="n"/>
      <c r="K22" s="45" t="n"/>
      <c r="L22" s="37" t="n"/>
    </row>
    <row r="23" ht="20" customHeight="1">
      <c r="A23" s="28" t="n">
        <v>19</v>
      </c>
      <c r="B23" s="28" t="n">
        <v>3</v>
      </c>
      <c r="C23" s="43" t="n">
        <v>46213</v>
      </c>
      <c r="D23" s="28" t="inlineStr">
        <is>
          <t>Friday</t>
        </is>
      </c>
      <c r="E23" s="7" t="inlineStr">
        <is>
          <t>Chest + Back Density + Hybrid 5 rounds: 40m carry + 12 burpees + 20 lunges</t>
        </is>
      </c>
      <c r="F23" s="45" t="n"/>
      <c r="G23" s="45" t="n"/>
      <c r="H23" s="45" t="n"/>
      <c r="I23" s="45" t="n"/>
      <c r="J23" s="45" t="n"/>
      <c r="K23" s="45" t="n"/>
      <c r="L23" s="37" t="n"/>
    </row>
    <row r="24" ht="20" customHeight="1">
      <c r="A24" s="28" t="n">
        <v>20</v>
      </c>
      <c r="B24" s="28" t="n">
        <v>3</v>
      </c>
      <c r="C24" s="43" t="n">
        <v>46214</v>
      </c>
      <c r="D24" s="28" t="inlineStr">
        <is>
          <t>Saturday</t>
        </is>
      </c>
      <c r="E24" s="7" t="inlineStr">
        <is>
          <t>Legs + Posterior Chain + Long Ride 1h45 Zone 2</t>
        </is>
      </c>
      <c r="F24" s="45" t="n"/>
      <c r="G24" s="45" t="n"/>
      <c r="H24" s="45" t="n"/>
      <c r="I24" s="45" t="n"/>
      <c r="J24" s="45" t="n"/>
      <c r="K24" s="45" t="n"/>
      <c r="L24" s="37" t="n"/>
    </row>
    <row r="25" ht="20" customHeight="1">
      <c r="A25" s="28" t="n">
        <v>21</v>
      </c>
      <c r="B25" s="28" t="n">
        <v>3</v>
      </c>
      <c r="C25" s="43" t="n">
        <v>46215</v>
      </c>
      <c r="D25" s="28" t="inlineStr">
        <is>
          <t>Sunday</t>
        </is>
      </c>
      <c r="E25" s="7" t="inlineStr">
        <is>
          <t>Arms + Core + Long Run 53 min easy (Zone 2)</t>
        </is>
      </c>
      <c r="F25" s="45" t="n"/>
      <c r="G25" s="45" t="n"/>
      <c r="H25" s="45" t="n"/>
      <c r="I25" s="45" t="n"/>
      <c r="J25" s="45" t="n"/>
      <c r="K25" s="45" t="n"/>
      <c r="L25" s="37" t="n"/>
    </row>
    <row r="26" ht="20" customHeight="1">
      <c r="A26" s="28" t="n">
        <v>22</v>
      </c>
      <c r="B26" s="28" t="n">
        <v>4</v>
      </c>
      <c r="C26" s="43" t="n">
        <v>46216</v>
      </c>
      <c r="D26" s="28" t="inlineStr">
        <is>
          <t>Monday</t>
        </is>
      </c>
      <c r="E26" s="7" t="inlineStr">
        <is>
          <t>Chest + Biceps + Zone 2 Cycle 30 min</t>
        </is>
      </c>
      <c r="F26" s="45" t="n"/>
      <c r="G26" s="45" t="n"/>
      <c r="H26" s="45" t="n"/>
      <c r="I26" s="45" t="n"/>
      <c r="J26" s="45" t="n"/>
      <c r="K26" s="45" t="n"/>
      <c r="L26" s="37" t="n"/>
    </row>
    <row r="27" ht="20" customHeight="1">
      <c r="A27" s="28" t="n">
        <v>23</v>
      </c>
      <c r="B27" s="28" t="n">
        <v>4</v>
      </c>
      <c r="C27" s="43" t="n">
        <v>46217</v>
      </c>
      <c r="D27" s="28" t="inlineStr">
        <is>
          <t>Tuesday</t>
        </is>
      </c>
      <c r="E27" s="7" t="inlineStr">
        <is>
          <t>Back + Triceps + VO2 Bike 3x3min</t>
        </is>
      </c>
      <c r="F27" s="45" t="n"/>
      <c r="G27" s="45" t="n"/>
      <c r="H27" s="45" t="n"/>
      <c r="I27" s="45" t="n"/>
      <c r="J27" s="45" t="n"/>
      <c r="K27" s="45" t="n"/>
      <c r="L27" s="37" t="n"/>
    </row>
    <row r="28" ht="20" customHeight="1">
      <c r="A28" s="28" t="n">
        <v>24</v>
      </c>
      <c r="B28" s="28" t="n">
        <v>4</v>
      </c>
      <c r="C28" s="43" t="n">
        <v>46218</v>
      </c>
      <c r="D28" s="28" t="inlineStr">
        <is>
          <t>Wednesday</t>
        </is>
      </c>
      <c r="E28" s="7" t="inlineStr">
        <is>
          <t>Legs Volume + Easy Run 25 min</t>
        </is>
      </c>
      <c r="F28" s="45" t="n"/>
      <c r="G28" s="45" t="n"/>
      <c r="H28" s="45" t="n"/>
      <c r="I28" s="45" t="n"/>
      <c r="J28" s="45" t="n"/>
      <c r="K28" s="45" t="n"/>
      <c r="L28" s="37" t="n"/>
    </row>
    <row r="29" ht="20" customHeight="1">
      <c r="A29" s="28" t="n">
        <v>25</v>
      </c>
      <c r="B29" s="28" t="n">
        <v>4</v>
      </c>
      <c r="C29" s="43" t="n">
        <v>46219</v>
      </c>
      <c r="D29" s="28" t="inlineStr">
        <is>
          <t>Thursday</t>
        </is>
      </c>
      <c r="E29" s="7" t="inlineStr">
        <is>
          <t>Shoulders + Threshold Cycle 2x8min</t>
        </is>
      </c>
      <c r="F29" s="45" t="n"/>
      <c r="G29" s="45" t="n"/>
      <c r="H29" s="45" t="n"/>
      <c r="I29" s="45" t="n"/>
      <c r="J29" s="45" t="n"/>
      <c r="K29" s="45" t="n"/>
      <c r="L29" s="37" t="n"/>
    </row>
    <row r="30" ht="20" customHeight="1">
      <c r="A30" s="28" t="n">
        <v>26</v>
      </c>
      <c r="B30" s="28" t="n">
        <v>4</v>
      </c>
      <c r="C30" s="43" t="n">
        <v>46220</v>
      </c>
      <c r="D30" s="28" t="inlineStr">
        <is>
          <t>Friday</t>
        </is>
      </c>
      <c r="E30" s="7" t="inlineStr">
        <is>
          <t>Chest + Back Density + Hybrid 3 rounds: 40m carry + 12 burpees + 20 lunges</t>
        </is>
      </c>
      <c r="F30" s="45" t="n"/>
      <c r="G30" s="45" t="n"/>
      <c r="H30" s="45" t="n"/>
      <c r="I30" s="45" t="n"/>
      <c r="J30" s="45" t="n"/>
      <c r="K30" s="45" t="n"/>
      <c r="L30" s="37" t="n"/>
    </row>
    <row r="31" ht="20" customHeight="1">
      <c r="A31" s="28" t="n">
        <v>27</v>
      </c>
      <c r="B31" s="28" t="n">
        <v>4</v>
      </c>
      <c r="C31" s="43" t="n">
        <v>46221</v>
      </c>
      <c r="D31" s="28" t="inlineStr">
        <is>
          <t>Saturday</t>
        </is>
      </c>
      <c r="E31" s="7" t="inlineStr">
        <is>
          <t>Legs + Posterior Chain + Long Ride 1h00 Zone 2</t>
        </is>
      </c>
      <c r="F31" s="45" t="n"/>
      <c r="G31" s="45" t="n"/>
      <c r="H31" s="45" t="n"/>
      <c r="I31" s="45" t="n"/>
      <c r="J31" s="45" t="n"/>
      <c r="K31" s="45" t="n"/>
      <c r="L31" s="37" t="n"/>
    </row>
    <row r="32" ht="20" customHeight="1">
      <c r="A32" s="28" t="n">
        <v>28</v>
      </c>
      <c r="B32" s="28" t="n">
        <v>4</v>
      </c>
      <c r="C32" s="43" t="n">
        <v>46222</v>
      </c>
      <c r="D32" s="28" t="inlineStr">
        <is>
          <t>Sunday</t>
        </is>
      </c>
      <c r="E32" s="7" t="inlineStr">
        <is>
          <t>Arms + Core + Long Run 35 min easy (Zone 2)</t>
        </is>
      </c>
      <c r="F32" s="45" t="n"/>
      <c r="G32" s="45" t="n"/>
      <c r="H32" s="45" t="n"/>
      <c r="I32" s="45" t="n"/>
      <c r="J32" s="45" t="n"/>
      <c r="K32" s="45" t="n"/>
      <c r="L32" s="37" t="n"/>
    </row>
    <row r="33" ht="20" customHeight="1">
      <c r="A33" s="28" t="n">
        <v>29</v>
      </c>
      <c r="B33" s="28" t="n">
        <v>5</v>
      </c>
      <c r="C33" s="43" t="n">
        <v>46223</v>
      </c>
      <c r="D33" s="28" t="inlineStr">
        <is>
          <t>Monday</t>
        </is>
      </c>
      <c r="E33" s="7" t="inlineStr">
        <is>
          <t>Chest + Biceps + Zone 2 Cycle 45 min</t>
        </is>
      </c>
      <c r="F33" s="45" t="n"/>
      <c r="G33" s="45" t="n"/>
      <c r="H33" s="45" t="n"/>
      <c r="I33" s="45" t="n"/>
      <c r="J33" s="45" t="n"/>
      <c r="K33" s="45" t="n"/>
      <c r="L33" s="37" t="n"/>
    </row>
    <row r="34" ht="20" customHeight="1">
      <c r="A34" s="28" t="n">
        <v>30</v>
      </c>
      <c r="B34" s="28" t="n">
        <v>5</v>
      </c>
      <c r="C34" s="43" t="n">
        <v>46224</v>
      </c>
      <c r="D34" s="28" t="inlineStr">
        <is>
          <t>Tuesday</t>
        </is>
      </c>
      <c r="E34" s="7" t="inlineStr">
        <is>
          <t>Back + Triceps + VO2 Bike 5x3min</t>
        </is>
      </c>
      <c r="F34" s="45" t="n"/>
      <c r="G34" s="45" t="n"/>
      <c r="H34" s="45" t="n"/>
      <c r="I34" s="45" t="n"/>
      <c r="J34" s="45" t="n"/>
      <c r="K34" s="45" t="n"/>
      <c r="L34" s="37" t="n"/>
    </row>
    <row r="35" ht="20" customHeight="1">
      <c r="A35" s="28" t="n">
        <v>31</v>
      </c>
      <c r="B35" s="28" t="n">
        <v>5</v>
      </c>
      <c r="C35" s="43" t="n">
        <v>46225</v>
      </c>
      <c r="D35" s="28" t="inlineStr">
        <is>
          <t>Wednesday</t>
        </is>
      </c>
      <c r="E35" s="7" t="inlineStr">
        <is>
          <t>Legs Volume + Easy Run 35 min</t>
        </is>
      </c>
      <c r="F35" s="45" t="n"/>
      <c r="G35" s="45" t="n"/>
      <c r="H35" s="45" t="n"/>
      <c r="I35" s="45" t="n"/>
      <c r="J35" s="45" t="n"/>
      <c r="K35" s="45" t="n"/>
      <c r="L35" s="37" t="n"/>
    </row>
    <row r="36" ht="20" customHeight="1">
      <c r="A36" s="28" t="n">
        <v>32</v>
      </c>
      <c r="B36" s="28" t="n">
        <v>5</v>
      </c>
      <c r="C36" s="43" t="n">
        <v>46226</v>
      </c>
      <c r="D36" s="28" t="inlineStr">
        <is>
          <t>Thursday</t>
        </is>
      </c>
      <c r="E36" s="7" t="inlineStr">
        <is>
          <t>Shoulders + Threshold Cycle 2x10min</t>
        </is>
      </c>
      <c r="F36" s="45" t="n"/>
      <c r="G36" s="45" t="n"/>
      <c r="H36" s="45" t="n"/>
      <c r="I36" s="45" t="n"/>
      <c r="J36" s="45" t="n"/>
      <c r="K36" s="45" t="n"/>
      <c r="L36" s="37" t="n"/>
    </row>
    <row r="37" ht="20" customHeight="1">
      <c r="A37" s="28" t="n">
        <v>33</v>
      </c>
      <c r="B37" s="28" t="n">
        <v>5</v>
      </c>
      <c r="C37" s="43" t="n">
        <v>46227</v>
      </c>
      <c r="D37" s="28" t="inlineStr">
        <is>
          <t>Friday</t>
        </is>
      </c>
      <c r="E37" s="7" t="inlineStr">
        <is>
          <t>Chest + Back Density + Hybrid 3 rounds: 40m carry + 12 burpees + 20 lunges</t>
        </is>
      </c>
      <c r="F37" s="45" t="n"/>
      <c r="G37" s="45" t="n"/>
      <c r="H37" s="45" t="n"/>
      <c r="I37" s="45" t="n"/>
      <c r="J37" s="45" t="n"/>
      <c r="K37" s="45" t="n"/>
      <c r="L37" s="37" t="n"/>
    </row>
    <row r="38" ht="20" customHeight="1">
      <c r="A38" s="28" t="n">
        <v>34</v>
      </c>
      <c r="B38" s="28" t="n">
        <v>5</v>
      </c>
      <c r="C38" s="43" t="n">
        <v>46228</v>
      </c>
      <c r="D38" s="28" t="inlineStr">
        <is>
          <t>Saturday</t>
        </is>
      </c>
      <c r="E38" s="7" t="inlineStr">
        <is>
          <t>Legs + Posterior Chain + Long Ride 1h45 Zone 2</t>
        </is>
      </c>
      <c r="F38" s="45" t="n"/>
      <c r="G38" s="45" t="n"/>
      <c r="H38" s="45" t="n"/>
      <c r="I38" s="45" t="n"/>
      <c r="J38" s="45" t="n"/>
      <c r="K38" s="45" t="n"/>
      <c r="L38" s="37" t="n"/>
    </row>
    <row r="39" ht="20" customHeight="1">
      <c r="A39" s="28" t="n">
        <v>35</v>
      </c>
      <c r="B39" s="28" t="n">
        <v>5</v>
      </c>
      <c r="C39" s="43" t="n">
        <v>46229</v>
      </c>
      <c r="D39" s="28" t="inlineStr">
        <is>
          <t>Sunday</t>
        </is>
      </c>
      <c r="E39" s="7" t="inlineStr">
        <is>
          <t>Arms + Core + Long Run 52 min easy (Zone 2)</t>
        </is>
      </c>
      <c r="F39" s="45" t="n"/>
      <c r="G39" s="45" t="n"/>
      <c r="H39" s="45" t="n"/>
      <c r="I39" s="45" t="n"/>
      <c r="J39" s="45" t="n"/>
      <c r="K39" s="45" t="n"/>
      <c r="L39" s="37" t="n"/>
    </row>
    <row r="40" ht="20" customHeight="1">
      <c r="A40" s="28" t="n">
        <v>36</v>
      </c>
      <c r="B40" s="28" t="n">
        <v>6</v>
      </c>
      <c r="C40" s="43" t="n">
        <v>46230</v>
      </c>
      <c r="D40" s="28" t="inlineStr">
        <is>
          <t>Monday</t>
        </is>
      </c>
      <c r="E40" s="7" t="inlineStr">
        <is>
          <t>Chest + Biceps + Zone 2 Cycle 45 min</t>
        </is>
      </c>
      <c r="F40" s="45" t="n"/>
      <c r="G40" s="45" t="n"/>
      <c r="H40" s="45" t="n"/>
      <c r="I40" s="45" t="n"/>
      <c r="J40" s="45" t="n"/>
      <c r="K40" s="45" t="n"/>
      <c r="L40" s="37" t="n"/>
    </row>
    <row r="41" ht="20" customHeight="1">
      <c r="A41" s="28" t="n">
        <v>37</v>
      </c>
      <c r="B41" s="28" t="n">
        <v>6</v>
      </c>
      <c r="C41" s="43" t="n">
        <v>46231</v>
      </c>
      <c r="D41" s="28" t="inlineStr">
        <is>
          <t>Tuesday</t>
        </is>
      </c>
      <c r="E41" s="7" t="inlineStr">
        <is>
          <t>Back + Triceps + VO2 Bike 5x3min</t>
        </is>
      </c>
      <c r="F41" s="45" t="n"/>
      <c r="G41" s="45" t="n"/>
      <c r="H41" s="45" t="n"/>
      <c r="I41" s="45" t="n"/>
      <c r="J41" s="45" t="n"/>
      <c r="K41" s="45" t="n"/>
      <c r="L41" s="37" t="n"/>
    </row>
    <row r="42" ht="20" customHeight="1">
      <c r="A42" s="28" t="n">
        <v>38</v>
      </c>
      <c r="B42" s="28" t="n">
        <v>6</v>
      </c>
      <c r="C42" s="43" t="n">
        <v>46232</v>
      </c>
      <c r="D42" s="28" t="inlineStr">
        <is>
          <t>Wednesday</t>
        </is>
      </c>
      <c r="E42" s="7" t="inlineStr">
        <is>
          <t>Legs Volume + Easy Run 35 min</t>
        </is>
      </c>
      <c r="F42" s="45" t="n"/>
      <c r="G42" s="45" t="n"/>
      <c r="H42" s="45" t="n"/>
      <c r="I42" s="45" t="n"/>
      <c r="J42" s="45" t="n"/>
      <c r="K42" s="45" t="n"/>
      <c r="L42" s="37" t="n"/>
    </row>
    <row r="43" ht="20" customHeight="1">
      <c r="A43" s="28" t="n">
        <v>39</v>
      </c>
      <c r="B43" s="28" t="n">
        <v>6</v>
      </c>
      <c r="C43" s="43" t="n">
        <v>46233</v>
      </c>
      <c r="D43" s="28" t="inlineStr">
        <is>
          <t>Thursday</t>
        </is>
      </c>
      <c r="E43" s="7" t="inlineStr">
        <is>
          <t>Shoulders + Threshold Cycle 2x12min</t>
        </is>
      </c>
      <c r="F43" s="45" t="n"/>
      <c r="G43" s="45" t="n"/>
      <c r="H43" s="45" t="n"/>
      <c r="I43" s="45" t="n"/>
      <c r="J43" s="45" t="n"/>
      <c r="K43" s="45" t="n"/>
      <c r="L43" s="37" t="n"/>
    </row>
    <row r="44" ht="20" customHeight="1">
      <c r="A44" s="28" t="n">
        <v>40</v>
      </c>
      <c r="B44" s="28" t="n">
        <v>6</v>
      </c>
      <c r="C44" s="43" t="n">
        <v>46234</v>
      </c>
      <c r="D44" s="28" t="inlineStr">
        <is>
          <t>Friday</t>
        </is>
      </c>
      <c r="E44" s="7" t="inlineStr">
        <is>
          <t>Chest + Back Density + Hybrid 4 rounds: 40m carry + 12 burpees + 20 lunges</t>
        </is>
      </c>
      <c r="F44" s="45" t="n"/>
      <c r="G44" s="45" t="n"/>
      <c r="H44" s="45" t="n"/>
      <c r="I44" s="45" t="n"/>
      <c r="J44" s="45" t="n"/>
      <c r="K44" s="45" t="n"/>
      <c r="L44" s="37" t="n"/>
    </row>
    <row r="45" ht="20" customHeight="1">
      <c r="A45" s="28" t="n">
        <v>41</v>
      </c>
      <c r="B45" s="28" t="n">
        <v>6</v>
      </c>
      <c r="C45" s="43" t="n">
        <v>46235</v>
      </c>
      <c r="D45" s="28" t="inlineStr">
        <is>
          <t>Saturday</t>
        </is>
      </c>
      <c r="E45" s="7" t="inlineStr">
        <is>
          <t>Legs + Posterior Chain + Long Ride 1h45 Zone 2</t>
        </is>
      </c>
      <c r="F45" s="45" t="n"/>
      <c r="G45" s="45" t="n"/>
      <c r="H45" s="45" t="n"/>
      <c r="I45" s="45" t="n"/>
      <c r="J45" s="45" t="n"/>
      <c r="K45" s="45" t="n"/>
      <c r="L45" s="37" t="n"/>
    </row>
    <row r="46" ht="20" customHeight="1">
      <c r="A46" s="28" t="n">
        <v>42</v>
      </c>
      <c r="B46" s="28" t="n">
        <v>6</v>
      </c>
      <c r="C46" s="43" t="n">
        <v>46236</v>
      </c>
      <c r="D46" s="28" t="inlineStr">
        <is>
          <t>Sunday</t>
        </is>
      </c>
      <c r="E46" s="7" t="inlineStr">
        <is>
          <t>Arms + Core + Long Run 52 min easy (Zone 2)</t>
        </is>
      </c>
      <c r="F46" s="45" t="n"/>
      <c r="G46" s="45" t="n"/>
      <c r="H46" s="45" t="n"/>
      <c r="I46" s="45" t="n"/>
      <c r="J46" s="45" t="n"/>
      <c r="K46" s="45" t="n"/>
      <c r="L46" s="37" t="n"/>
    </row>
    <row r="47" ht="20" customHeight="1">
      <c r="A47" s="28" t="n">
        <v>43</v>
      </c>
      <c r="B47" s="28" t="n">
        <v>7</v>
      </c>
      <c r="C47" s="43" t="n">
        <v>46237</v>
      </c>
      <c r="D47" s="28" t="inlineStr">
        <is>
          <t>Monday</t>
        </is>
      </c>
      <c r="E47" s="7" t="inlineStr">
        <is>
          <t>Chest + Biceps + Zone 2 Cycle 55 min</t>
        </is>
      </c>
      <c r="F47" s="45" t="n"/>
      <c r="G47" s="45" t="n"/>
      <c r="H47" s="45" t="n"/>
      <c r="I47" s="45" t="n"/>
      <c r="J47" s="45" t="n"/>
      <c r="K47" s="45" t="n"/>
      <c r="L47" s="37" t="n"/>
    </row>
    <row r="48" ht="20" customHeight="1">
      <c r="A48" s="28" t="n">
        <v>44</v>
      </c>
      <c r="B48" s="28" t="n">
        <v>7</v>
      </c>
      <c r="C48" s="43" t="n">
        <v>46238</v>
      </c>
      <c r="D48" s="28" t="inlineStr">
        <is>
          <t>Tuesday</t>
        </is>
      </c>
      <c r="E48" s="7" t="inlineStr">
        <is>
          <t>Back + Triceps + VO2 Bike 5x3min</t>
        </is>
      </c>
      <c r="F48" s="45" t="n"/>
      <c r="G48" s="45" t="n"/>
      <c r="H48" s="45" t="n"/>
      <c r="I48" s="45" t="n"/>
      <c r="J48" s="45" t="n"/>
      <c r="K48" s="45" t="n"/>
      <c r="L48" s="37" t="n"/>
    </row>
    <row r="49" ht="20" customHeight="1">
      <c r="A49" s="28" t="n">
        <v>45</v>
      </c>
      <c r="B49" s="28" t="n">
        <v>7</v>
      </c>
      <c r="C49" s="43" t="n">
        <v>46239</v>
      </c>
      <c r="D49" s="28" t="inlineStr">
        <is>
          <t>Wednesday</t>
        </is>
      </c>
      <c r="E49" s="7" t="inlineStr">
        <is>
          <t>Legs Volume + Easy Run 40 min</t>
        </is>
      </c>
      <c r="F49" s="45" t="n"/>
      <c r="G49" s="45" t="n"/>
      <c r="H49" s="45" t="n"/>
      <c r="I49" s="45" t="n"/>
      <c r="J49" s="45" t="n"/>
      <c r="K49" s="45" t="n"/>
      <c r="L49" s="37" t="n"/>
    </row>
    <row r="50" ht="20" customHeight="1">
      <c r="A50" s="28" t="n">
        <v>46</v>
      </c>
      <c r="B50" s="28" t="n">
        <v>7</v>
      </c>
      <c r="C50" s="43" t="n">
        <v>46240</v>
      </c>
      <c r="D50" s="28" t="inlineStr">
        <is>
          <t>Thursday</t>
        </is>
      </c>
      <c r="E50" s="7" t="inlineStr">
        <is>
          <t>Shoulders + Threshold Cycle 3x12min</t>
        </is>
      </c>
      <c r="F50" s="45" t="n"/>
      <c r="G50" s="45" t="n"/>
      <c r="H50" s="45" t="n"/>
      <c r="I50" s="45" t="n"/>
      <c r="J50" s="45" t="n"/>
      <c r="K50" s="45" t="n"/>
      <c r="L50" s="37" t="n"/>
    </row>
    <row r="51" ht="20" customHeight="1">
      <c r="A51" s="28" t="n">
        <v>47</v>
      </c>
      <c r="B51" s="28" t="n">
        <v>7</v>
      </c>
      <c r="C51" s="43" t="n">
        <v>46241</v>
      </c>
      <c r="D51" s="28" t="inlineStr">
        <is>
          <t>Friday</t>
        </is>
      </c>
      <c r="E51" s="7" t="inlineStr">
        <is>
          <t>Chest + Back Density + Hybrid 5 rounds: 40m carry + 12 burpees + 20 lunges</t>
        </is>
      </c>
      <c r="F51" s="45" t="n"/>
      <c r="G51" s="45" t="n"/>
      <c r="H51" s="45" t="n"/>
      <c r="I51" s="45" t="n"/>
      <c r="J51" s="45" t="n"/>
      <c r="K51" s="45" t="n"/>
      <c r="L51" s="37" t="n"/>
    </row>
    <row r="52" ht="20" customHeight="1">
      <c r="A52" s="28" t="n">
        <v>48</v>
      </c>
      <c r="B52" s="28" t="n">
        <v>7</v>
      </c>
      <c r="C52" s="43" t="n">
        <v>46242</v>
      </c>
      <c r="D52" s="28" t="inlineStr">
        <is>
          <t>Saturday</t>
        </is>
      </c>
      <c r="E52" s="7" t="inlineStr">
        <is>
          <t>Legs + Posterior Chain + Long Ride 2h00 Zone 2</t>
        </is>
      </c>
      <c r="F52" s="45" t="n"/>
      <c r="G52" s="45" t="n"/>
      <c r="H52" s="45" t="n"/>
      <c r="I52" s="45" t="n"/>
      <c r="J52" s="45" t="n"/>
      <c r="K52" s="45" t="n"/>
      <c r="L52" s="37" t="n"/>
    </row>
    <row r="53" ht="20" customHeight="1">
      <c r="A53" s="28" t="n">
        <v>49</v>
      </c>
      <c r="B53" s="28" t="n">
        <v>7</v>
      </c>
      <c r="C53" s="43" t="n">
        <v>46243</v>
      </c>
      <c r="D53" s="28" t="inlineStr">
        <is>
          <t>Sunday</t>
        </is>
      </c>
      <c r="E53" s="7" t="inlineStr">
        <is>
          <t>Arms + Core + Long Run 1h00 easy (Zone 2)</t>
        </is>
      </c>
      <c r="F53" s="45" t="n"/>
      <c r="G53" s="45" t="n"/>
      <c r="H53" s="45" t="n"/>
      <c r="I53" s="45" t="n"/>
      <c r="J53" s="45" t="n"/>
      <c r="K53" s="45" t="n"/>
      <c r="L53" s="37" t="n"/>
    </row>
    <row r="54" ht="20" customHeight="1">
      <c r="A54" s="28" t="n">
        <v>50</v>
      </c>
      <c r="B54" s="28" t="n">
        <v>8</v>
      </c>
      <c r="C54" s="43" t="n">
        <v>46244</v>
      </c>
      <c r="D54" s="28" t="inlineStr">
        <is>
          <t>Monday</t>
        </is>
      </c>
      <c r="E54" s="7" t="inlineStr">
        <is>
          <t>Chest + Biceps + Zone 2 Cycle 30 min</t>
        </is>
      </c>
      <c r="F54" s="45" t="n"/>
      <c r="G54" s="45" t="n"/>
      <c r="H54" s="45" t="n"/>
      <c r="I54" s="45" t="n"/>
      <c r="J54" s="45" t="n"/>
      <c r="K54" s="45" t="n"/>
      <c r="L54" s="37" t="n"/>
    </row>
    <row r="55" ht="20" customHeight="1">
      <c r="A55" s="28" t="n">
        <v>51</v>
      </c>
      <c r="B55" s="28" t="n">
        <v>8</v>
      </c>
      <c r="C55" s="43" t="n">
        <v>46245</v>
      </c>
      <c r="D55" s="28" t="inlineStr">
        <is>
          <t>Tuesday</t>
        </is>
      </c>
      <c r="E55" s="7" t="inlineStr">
        <is>
          <t>Back + Triceps + VO2 Bike 3x3min</t>
        </is>
      </c>
      <c r="F55" s="45" t="n"/>
      <c r="G55" s="45" t="n"/>
      <c r="H55" s="45" t="n"/>
      <c r="I55" s="45" t="n"/>
      <c r="J55" s="45" t="n"/>
      <c r="K55" s="45" t="n"/>
      <c r="L55" s="37" t="n"/>
    </row>
    <row r="56" ht="20" customHeight="1">
      <c r="A56" s="28" t="n">
        <v>52</v>
      </c>
      <c r="B56" s="28" t="n">
        <v>8</v>
      </c>
      <c r="C56" s="43" t="n">
        <v>46246</v>
      </c>
      <c r="D56" s="28" t="inlineStr">
        <is>
          <t>Wednesday</t>
        </is>
      </c>
      <c r="E56" s="7" t="inlineStr">
        <is>
          <t>Legs Volume + Easy Run 25 min</t>
        </is>
      </c>
      <c r="F56" s="45" t="n"/>
      <c r="G56" s="45" t="n"/>
      <c r="H56" s="45" t="n"/>
      <c r="I56" s="45" t="n"/>
      <c r="J56" s="45" t="n"/>
      <c r="K56" s="45" t="n"/>
      <c r="L56" s="37" t="n"/>
    </row>
    <row r="57" ht="20" customHeight="1">
      <c r="A57" s="28" t="n">
        <v>53</v>
      </c>
      <c r="B57" s="28" t="n">
        <v>8</v>
      </c>
      <c r="C57" s="43" t="n">
        <v>46247</v>
      </c>
      <c r="D57" s="28" t="inlineStr">
        <is>
          <t>Thursday</t>
        </is>
      </c>
      <c r="E57" s="7" t="inlineStr">
        <is>
          <t>Shoulders + Threshold Cycle 2x8min</t>
        </is>
      </c>
      <c r="F57" s="45" t="n"/>
      <c r="G57" s="45" t="n"/>
      <c r="H57" s="45" t="n"/>
      <c r="I57" s="45" t="n"/>
      <c r="J57" s="45" t="n"/>
      <c r="K57" s="45" t="n"/>
      <c r="L57" s="37" t="n"/>
    </row>
    <row r="58" ht="20" customHeight="1">
      <c r="A58" s="28" t="n">
        <v>54</v>
      </c>
      <c r="B58" s="28" t="n">
        <v>8</v>
      </c>
      <c r="C58" s="43" t="n">
        <v>46248</v>
      </c>
      <c r="D58" s="28" t="inlineStr">
        <is>
          <t>Friday</t>
        </is>
      </c>
      <c r="E58" s="7" t="inlineStr">
        <is>
          <t>Chest + Back Density + Hybrid 3 rounds: 40m carry + 12 burpees + 20 lunges</t>
        </is>
      </c>
      <c r="F58" s="45" t="n"/>
      <c r="G58" s="45" t="n"/>
      <c r="H58" s="45" t="n"/>
      <c r="I58" s="45" t="n"/>
      <c r="J58" s="45" t="n"/>
      <c r="K58" s="45" t="n"/>
      <c r="L58" s="37" t="n"/>
    </row>
    <row r="59" ht="20" customHeight="1">
      <c r="A59" s="28" t="n">
        <v>55</v>
      </c>
      <c r="B59" s="28" t="n">
        <v>8</v>
      </c>
      <c r="C59" s="43" t="n">
        <v>46249</v>
      </c>
      <c r="D59" s="28" t="inlineStr">
        <is>
          <t>Saturday</t>
        </is>
      </c>
      <c r="E59" s="7" t="inlineStr">
        <is>
          <t>Legs + Posterior Chain + Long Ride 1h00 Zone 2</t>
        </is>
      </c>
      <c r="F59" s="45" t="n"/>
      <c r="G59" s="45" t="n"/>
      <c r="H59" s="45" t="n"/>
      <c r="I59" s="45" t="n"/>
      <c r="J59" s="45" t="n"/>
      <c r="K59" s="45" t="n"/>
      <c r="L59" s="37" t="n"/>
    </row>
    <row r="60" ht="20" customHeight="1">
      <c r="A60" s="28" t="n">
        <v>56</v>
      </c>
      <c r="B60" s="28" t="n">
        <v>8</v>
      </c>
      <c r="C60" s="43" t="n">
        <v>46250</v>
      </c>
      <c r="D60" s="28" t="inlineStr">
        <is>
          <t>Sunday</t>
        </is>
      </c>
      <c r="E60" s="7" t="inlineStr">
        <is>
          <t>Arms + Core + Long Run 35 min easy (Zone 2)</t>
        </is>
      </c>
      <c r="F60" s="45" t="n"/>
      <c r="G60" s="45" t="n"/>
      <c r="H60" s="45" t="n"/>
      <c r="I60" s="45" t="n"/>
      <c r="J60" s="45" t="n"/>
      <c r="K60" s="45" t="n"/>
      <c r="L60" s="37" t="n"/>
    </row>
    <row r="61" ht="20" customHeight="1">
      <c r="A61" s="28" t="n">
        <v>57</v>
      </c>
      <c r="B61" s="28" t="n">
        <v>9</v>
      </c>
      <c r="C61" s="43" t="n">
        <v>46251</v>
      </c>
      <c r="D61" s="28" t="inlineStr">
        <is>
          <t>Monday</t>
        </is>
      </c>
      <c r="E61" s="7" t="inlineStr">
        <is>
          <t>Chest + Biceps + Zone 2 Cycle 50 min</t>
        </is>
      </c>
      <c r="F61" s="45" t="n"/>
      <c r="G61" s="45" t="n"/>
      <c r="H61" s="45" t="n"/>
      <c r="I61" s="45" t="n"/>
      <c r="J61" s="45" t="n"/>
      <c r="K61" s="45" t="n"/>
      <c r="L61" s="37" t="n"/>
    </row>
    <row r="62" ht="20" customHeight="1">
      <c r="A62" s="28" t="n">
        <v>58</v>
      </c>
      <c r="B62" s="28" t="n">
        <v>9</v>
      </c>
      <c r="C62" s="43" t="n">
        <v>46252</v>
      </c>
      <c r="D62" s="28" t="inlineStr">
        <is>
          <t>Tuesday</t>
        </is>
      </c>
      <c r="E62" s="7" t="inlineStr">
        <is>
          <t>Back + Triceps + VO2 Bike 6x3min</t>
        </is>
      </c>
      <c r="F62" s="45" t="n"/>
      <c r="G62" s="45" t="n"/>
      <c r="H62" s="45" t="n"/>
      <c r="I62" s="45" t="n"/>
      <c r="J62" s="45" t="n"/>
      <c r="K62" s="45" t="n"/>
      <c r="L62" s="37" t="n"/>
    </row>
    <row r="63" ht="20" customHeight="1">
      <c r="A63" s="28" t="n">
        <v>59</v>
      </c>
      <c r="B63" s="28" t="n">
        <v>9</v>
      </c>
      <c r="C63" s="43" t="n">
        <v>46253</v>
      </c>
      <c r="D63" s="28" t="inlineStr">
        <is>
          <t>Wednesday</t>
        </is>
      </c>
      <c r="E63" s="7" t="inlineStr">
        <is>
          <t>Legs Volume + Easy Run 40 min</t>
        </is>
      </c>
      <c r="F63" s="45" t="n"/>
      <c r="G63" s="45" t="n"/>
      <c r="H63" s="45" t="n"/>
      <c r="I63" s="45" t="n"/>
      <c r="J63" s="45" t="n"/>
      <c r="K63" s="45" t="n"/>
      <c r="L63" s="37" t="n"/>
    </row>
    <row r="64" ht="20" customHeight="1">
      <c r="A64" s="28" t="n">
        <v>60</v>
      </c>
      <c r="B64" s="28" t="n">
        <v>9</v>
      </c>
      <c r="C64" s="43" t="n">
        <v>46254</v>
      </c>
      <c r="D64" s="28" t="inlineStr">
        <is>
          <t>Thursday</t>
        </is>
      </c>
      <c r="E64" s="7" t="inlineStr">
        <is>
          <t>Shoulders + Threshold Cycle 2x10min</t>
        </is>
      </c>
      <c r="F64" s="45" t="n"/>
      <c r="G64" s="45" t="n"/>
      <c r="H64" s="45" t="n"/>
      <c r="I64" s="45" t="n"/>
      <c r="J64" s="45" t="n"/>
      <c r="K64" s="45" t="n"/>
      <c r="L64" s="37" t="n"/>
    </row>
    <row r="65" ht="20" customHeight="1">
      <c r="A65" s="28" t="n">
        <v>61</v>
      </c>
      <c r="B65" s="28" t="n">
        <v>9</v>
      </c>
      <c r="C65" s="43" t="n">
        <v>46255</v>
      </c>
      <c r="D65" s="28" t="inlineStr">
        <is>
          <t>Friday</t>
        </is>
      </c>
      <c r="E65" s="7" t="inlineStr">
        <is>
          <t>Chest + Back Density + Hybrid 3 rounds: 40m carry + 12 burpees + 20 lunges</t>
        </is>
      </c>
      <c r="F65" s="45" t="n"/>
      <c r="G65" s="45" t="n"/>
      <c r="H65" s="45" t="n"/>
      <c r="I65" s="45" t="n"/>
      <c r="J65" s="45" t="n"/>
      <c r="K65" s="45" t="n"/>
      <c r="L65" s="37" t="n"/>
    </row>
    <row r="66" ht="20" customHeight="1">
      <c r="A66" s="28" t="n">
        <v>62</v>
      </c>
      <c r="B66" s="28" t="n">
        <v>9</v>
      </c>
      <c r="C66" s="43" t="n">
        <v>46256</v>
      </c>
      <c r="D66" s="28" t="inlineStr">
        <is>
          <t>Saturday</t>
        </is>
      </c>
      <c r="E66" s="7" t="inlineStr">
        <is>
          <t>Legs + Posterior Chain + Long Ride 2h00 Zone 2</t>
        </is>
      </c>
      <c r="F66" s="45" t="n"/>
      <c r="G66" s="45" t="n"/>
      <c r="H66" s="45" t="n"/>
      <c r="I66" s="45" t="n"/>
      <c r="J66" s="45" t="n"/>
      <c r="K66" s="45" t="n"/>
      <c r="L66" s="37" t="n"/>
    </row>
    <row r="67" ht="20" customHeight="1">
      <c r="A67" s="28" t="n">
        <v>63</v>
      </c>
      <c r="B67" s="28" t="n">
        <v>9</v>
      </c>
      <c r="C67" s="43" t="n">
        <v>46257</v>
      </c>
      <c r="D67" s="28" t="inlineStr">
        <is>
          <t>Sunday</t>
        </is>
      </c>
      <c r="E67" s="7" t="inlineStr">
        <is>
          <t>Arms + Core + Long Run 59 min easy (Zone 2)</t>
        </is>
      </c>
      <c r="F67" s="45" t="n"/>
      <c r="G67" s="45" t="n"/>
      <c r="H67" s="45" t="n"/>
      <c r="I67" s="45" t="n"/>
      <c r="J67" s="45" t="n"/>
      <c r="K67" s="45" t="n"/>
      <c r="L67" s="37" t="n"/>
    </row>
    <row r="68" ht="20" customHeight="1">
      <c r="A68" s="28" t="n">
        <v>64</v>
      </c>
      <c r="B68" s="28" t="n">
        <v>10</v>
      </c>
      <c r="C68" s="43" t="n">
        <v>46258</v>
      </c>
      <c r="D68" s="28" t="inlineStr">
        <is>
          <t>Monday</t>
        </is>
      </c>
      <c r="E68" s="7" t="inlineStr">
        <is>
          <t>Chest + Biceps + Zone 2 Cycle 50 min</t>
        </is>
      </c>
      <c r="F68" s="45" t="n"/>
      <c r="G68" s="45" t="n"/>
      <c r="H68" s="45" t="n"/>
      <c r="I68" s="45" t="n"/>
      <c r="J68" s="45" t="n"/>
      <c r="K68" s="45" t="n"/>
      <c r="L68" s="37" t="n"/>
    </row>
    <row r="69" ht="20" customHeight="1">
      <c r="A69" s="28" t="n">
        <v>65</v>
      </c>
      <c r="B69" s="28" t="n">
        <v>10</v>
      </c>
      <c r="C69" s="43" t="n">
        <v>46259</v>
      </c>
      <c r="D69" s="28" t="inlineStr">
        <is>
          <t>Tuesday</t>
        </is>
      </c>
      <c r="E69" s="7" t="inlineStr">
        <is>
          <t>Back + Triceps + VO2 Bike 6x3min</t>
        </is>
      </c>
      <c r="F69" s="45" t="n"/>
      <c r="G69" s="45" t="n"/>
      <c r="H69" s="45" t="n"/>
      <c r="I69" s="45" t="n"/>
      <c r="J69" s="45" t="n"/>
      <c r="K69" s="45" t="n"/>
      <c r="L69" s="37" t="n"/>
    </row>
    <row r="70" ht="20" customHeight="1">
      <c r="A70" s="28" t="n">
        <v>66</v>
      </c>
      <c r="B70" s="28" t="n">
        <v>10</v>
      </c>
      <c r="C70" s="43" t="n">
        <v>46260</v>
      </c>
      <c r="D70" s="28" t="inlineStr">
        <is>
          <t>Wednesday</t>
        </is>
      </c>
      <c r="E70" s="7" t="inlineStr">
        <is>
          <t>Legs Volume + Easy Run 40 min</t>
        </is>
      </c>
      <c r="F70" s="45" t="n"/>
      <c r="G70" s="45" t="n"/>
      <c r="H70" s="45" t="n"/>
      <c r="I70" s="45" t="n"/>
      <c r="J70" s="45" t="n"/>
      <c r="K70" s="45" t="n"/>
      <c r="L70" s="37" t="n"/>
    </row>
    <row r="71" ht="20" customHeight="1">
      <c r="A71" s="28" t="n">
        <v>67</v>
      </c>
      <c r="B71" s="28" t="n">
        <v>10</v>
      </c>
      <c r="C71" s="43" t="n">
        <v>46261</v>
      </c>
      <c r="D71" s="28" t="inlineStr">
        <is>
          <t>Thursday</t>
        </is>
      </c>
      <c r="E71" s="7" t="inlineStr">
        <is>
          <t>Shoulders + Threshold Cycle 2x12min</t>
        </is>
      </c>
      <c r="F71" s="45" t="n"/>
      <c r="G71" s="45" t="n"/>
      <c r="H71" s="45" t="n"/>
      <c r="I71" s="45" t="n"/>
      <c r="J71" s="45" t="n"/>
      <c r="K71" s="45" t="n"/>
      <c r="L71" s="37" t="n"/>
    </row>
    <row r="72" ht="20" customHeight="1">
      <c r="A72" s="28" t="n">
        <v>68</v>
      </c>
      <c r="B72" s="28" t="n">
        <v>10</v>
      </c>
      <c r="C72" s="43" t="n">
        <v>46262</v>
      </c>
      <c r="D72" s="28" t="inlineStr">
        <is>
          <t>Friday</t>
        </is>
      </c>
      <c r="E72" s="7" t="inlineStr">
        <is>
          <t>Chest + Back Density + Hybrid 4 rounds: 40m carry + 12 burpees + 20 lunges</t>
        </is>
      </c>
      <c r="F72" s="45" t="n"/>
      <c r="G72" s="45" t="n"/>
      <c r="H72" s="45" t="n"/>
      <c r="I72" s="45" t="n"/>
      <c r="J72" s="45" t="n"/>
      <c r="K72" s="45" t="n"/>
      <c r="L72" s="37" t="n"/>
    </row>
    <row r="73" ht="20" customHeight="1">
      <c r="A73" s="28" t="n">
        <v>69</v>
      </c>
      <c r="B73" s="28" t="n">
        <v>10</v>
      </c>
      <c r="C73" s="43" t="n">
        <v>46263</v>
      </c>
      <c r="D73" s="28" t="inlineStr">
        <is>
          <t>Saturday</t>
        </is>
      </c>
      <c r="E73" s="7" t="inlineStr">
        <is>
          <t>Legs + Posterior Chain + Long Ride 2h00 Zone 2</t>
        </is>
      </c>
      <c r="F73" s="45" t="n"/>
      <c r="G73" s="45" t="n"/>
      <c r="H73" s="45" t="n"/>
      <c r="I73" s="45" t="n"/>
      <c r="J73" s="45" t="n"/>
      <c r="K73" s="45" t="n"/>
      <c r="L73" s="37" t="n"/>
    </row>
    <row r="74" ht="20" customHeight="1">
      <c r="A74" s="28" t="n">
        <v>70</v>
      </c>
      <c r="B74" s="28" t="n">
        <v>10</v>
      </c>
      <c r="C74" s="43" t="n">
        <v>46264</v>
      </c>
      <c r="D74" s="28" t="inlineStr">
        <is>
          <t>Sunday</t>
        </is>
      </c>
      <c r="E74" s="7" t="inlineStr">
        <is>
          <t>Arms + Core + Long Run 59 min easy (Zone 2)</t>
        </is>
      </c>
      <c r="F74" s="45" t="n"/>
      <c r="G74" s="45" t="n"/>
      <c r="H74" s="45" t="n"/>
      <c r="I74" s="45" t="n"/>
      <c r="J74" s="45" t="n"/>
      <c r="K74" s="45" t="n"/>
      <c r="L74" s="37" t="n"/>
    </row>
    <row r="75" ht="20" customHeight="1">
      <c r="A75" s="28" t="n">
        <v>71</v>
      </c>
      <c r="B75" s="28" t="n">
        <v>11</v>
      </c>
      <c r="C75" s="43" t="n">
        <v>46265</v>
      </c>
      <c r="D75" s="28" t="inlineStr">
        <is>
          <t>Monday</t>
        </is>
      </c>
      <c r="E75" s="7" t="inlineStr">
        <is>
          <t>Chest + Biceps + Zone 2 Cycle 1h00</t>
        </is>
      </c>
      <c r="F75" s="45" t="n"/>
      <c r="G75" s="45" t="n"/>
      <c r="H75" s="45" t="n"/>
      <c r="I75" s="45" t="n"/>
      <c r="J75" s="45" t="n"/>
      <c r="K75" s="45" t="n"/>
      <c r="L75" s="37" t="n"/>
    </row>
    <row r="76" ht="20" customHeight="1">
      <c r="A76" s="28" t="n">
        <v>72</v>
      </c>
      <c r="B76" s="28" t="n">
        <v>11</v>
      </c>
      <c r="C76" s="43" t="n">
        <v>46266</v>
      </c>
      <c r="D76" s="28" t="inlineStr">
        <is>
          <t>Tuesday</t>
        </is>
      </c>
      <c r="E76" s="7" t="inlineStr">
        <is>
          <t>Back + Triceps + VO2 Bike 6x3min</t>
        </is>
      </c>
      <c r="F76" s="45" t="n"/>
      <c r="G76" s="45" t="n"/>
      <c r="H76" s="45" t="n"/>
      <c r="I76" s="45" t="n"/>
      <c r="J76" s="45" t="n"/>
      <c r="K76" s="45" t="n"/>
      <c r="L76" s="37" t="n"/>
    </row>
    <row r="77" ht="20" customHeight="1">
      <c r="A77" s="28" t="n">
        <v>73</v>
      </c>
      <c r="B77" s="28" t="n">
        <v>11</v>
      </c>
      <c r="C77" s="43" t="n">
        <v>46267</v>
      </c>
      <c r="D77" s="28" t="inlineStr">
        <is>
          <t>Wednesday</t>
        </is>
      </c>
      <c r="E77" s="7" t="inlineStr">
        <is>
          <t>Legs Volume + Easy Run 45 min</t>
        </is>
      </c>
      <c r="F77" s="45" t="n"/>
      <c r="G77" s="45" t="n"/>
      <c r="H77" s="45" t="n"/>
      <c r="I77" s="45" t="n"/>
      <c r="J77" s="45" t="n"/>
      <c r="K77" s="45" t="n"/>
      <c r="L77" s="37" t="n"/>
    </row>
    <row r="78" ht="20" customHeight="1">
      <c r="A78" s="28" t="n">
        <v>74</v>
      </c>
      <c r="B78" s="28" t="n">
        <v>11</v>
      </c>
      <c r="C78" s="43" t="n">
        <v>46268</v>
      </c>
      <c r="D78" s="28" t="inlineStr">
        <is>
          <t>Thursday</t>
        </is>
      </c>
      <c r="E78" s="7" t="inlineStr">
        <is>
          <t>Shoulders + Threshold Cycle 3x12min</t>
        </is>
      </c>
      <c r="F78" s="45" t="n"/>
      <c r="G78" s="45" t="n"/>
      <c r="H78" s="45" t="n"/>
      <c r="I78" s="45" t="n"/>
      <c r="J78" s="45" t="n"/>
      <c r="K78" s="45" t="n"/>
      <c r="L78" s="37" t="n"/>
    </row>
    <row r="79" ht="20" customHeight="1">
      <c r="A79" s="28" t="n">
        <v>75</v>
      </c>
      <c r="B79" s="28" t="n">
        <v>11</v>
      </c>
      <c r="C79" s="43" t="n">
        <v>46269</v>
      </c>
      <c r="D79" s="28" t="inlineStr">
        <is>
          <t>Friday</t>
        </is>
      </c>
      <c r="E79" s="7" t="inlineStr">
        <is>
          <t>Chest + Back Density + Hybrid 5 rounds: 40m carry + 12 burpees + 20 lunges</t>
        </is>
      </c>
      <c r="F79" s="45" t="n"/>
      <c r="G79" s="45" t="n"/>
      <c r="H79" s="45" t="n"/>
      <c r="I79" s="45" t="n"/>
      <c r="J79" s="45" t="n"/>
      <c r="K79" s="45" t="n"/>
      <c r="L79" s="37" t="n"/>
    </row>
    <row r="80" ht="20" customHeight="1">
      <c r="A80" s="28" t="n">
        <v>76</v>
      </c>
      <c r="B80" s="28" t="n">
        <v>11</v>
      </c>
      <c r="C80" s="43" t="n">
        <v>46270</v>
      </c>
      <c r="D80" s="28" t="inlineStr">
        <is>
          <t>Saturday</t>
        </is>
      </c>
      <c r="E80" s="7" t="inlineStr">
        <is>
          <t>Legs + Posterior Chain + Long Ride 2h15 Zone 2</t>
        </is>
      </c>
      <c r="F80" s="45" t="n"/>
      <c r="G80" s="45" t="n"/>
      <c r="H80" s="45" t="n"/>
      <c r="I80" s="45" t="n"/>
      <c r="J80" s="45" t="n"/>
      <c r="K80" s="45" t="n"/>
      <c r="L80" s="37" t="n"/>
    </row>
    <row r="81" ht="20" customHeight="1">
      <c r="A81" s="28" t="n">
        <v>77</v>
      </c>
      <c r="B81" s="28" t="n">
        <v>11</v>
      </c>
      <c r="C81" s="43" t="n">
        <v>46271</v>
      </c>
      <c r="D81" s="28" t="inlineStr">
        <is>
          <t>Sunday</t>
        </is>
      </c>
      <c r="E81" s="7" t="inlineStr">
        <is>
          <t>Arms + Core + Long Run 1h07 easy (Zone 2)</t>
        </is>
      </c>
      <c r="F81" s="45" t="n"/>
      <c r="G81" s="45" t="n"/>
      <c r="H81" s="45" t="n"/>
      <c r="I81" s="45" t="n"/>
      <c r="J81" s="45" t="n"/>
      <c r="K81" s="45" t="n"/>
      <c r="L81" s="37" t="n"/>
    </row>
    <row r="82" ht="20" customHeight="1">
      <c r="A82" s="28" t="n">
        <v>78</v>
      </c>
      <c r="B82" s="28" t="n">
        <v>12</v>
      </c>
      <c r="C82" s="43" t="n">
        <v>46272</v>
      </c>
      <c r="D82" s="28" t="inlineStr">
        <is>
          <t>Monday</t>
        </is>
      </c>
      <c r="E82" s="7" t="inlineStr">
        <is>
          <t>Chest + Biceps + Zone 2 Cycle 30 min</t>
        </is>
      </c>
      <c r="F82" s="45" t="n"/>
      <c r="G82" s="45" t="n"/>
      <c r="H82" s="45" t="n"/>
      <c r="I82" s="45" t="n"/>
      <c r="J82" s="45" t="n"/>
      <c r="K82" s="45" t="n"/>
      <c r="L82" s="37" t="n"/>
    </row>
    <row r="83" ht="20" customHeight="1">
      <c r="A83" s="28" t="n">
        <v>79</v>
      </c>
      <c r="B83" s="28" t="n">
        <v>12</v>
      </c>
      <c r="C83" s="43" t="n">
        <v>46273</v>
      </c>
      <c r="D83" s="28" t="inlineStr">
        <is>
          <t>Tuesday</t>
        </is>
      </c>
      <c r="E83" s="7" t="inlineStr">
        <is>
          <t>Back + Triceps + VO2 Bike 3x3min</t>
        </is>
      </c>
      <c r="F83" s="45" t="n"/>
      <c r="G83" s="45" t="n"/>
      <c r="H83" s="45" t="n"/>
      <c r="I83" s="45" t="n"/>
      <c r="J83" s="45" t="n"/>
      <c r="K83" s="45" t="n"/>
      <c r="L83" s="37" t="n"/>
    </row>
    <row r="84" ht="20" customHeight="1">
      <c r="A84" s="28" t="n">
        <v>80</v>
      </c>
      <c r="B84" s="28" t="n">
        <v>12</v>
      </c>
      <c r="C84" s="43" t="n">
        <v>46274</v>
      </c>
      <c r="D84" s="28" t="inlineStr">
        <is>
          <t>Wednesday</t>
        </is>
      </c>
      <c r="E84" s="7" t="inlineStr">
        <is>
          <t>Legs Volume + Easy Run 25 min</t>
        </is>
      </c>
      <c r="F84" s="45" t="n"/>
      <c r="G84" s="45" t="n"/>
      <c r="H84" s="45" t="n"/>
      <c r="I84" s="45" t="n"/>
      <c r="J84" s="45" t="n"/>
      <c r="K84" s="45" t="n"/>
      <c r="L84" s="37" t="n"/>
    </row>
    <row r="85" ht="20" customHeight="1">
      <c r="A85" s="28" t="n">
        <v>81</v>
      </c>
      <c r="B85" s="28" t="n">
        <v>12</v>
      </c>
      <c r="C85" s="43" t="n">
        <v>46275</v>
      </c>
      <c r="D85" s="28" t="inlineStr">
        <is>
          <t>Thursday</t>
        </is>
      </c>
      <c r="E85" s="7" t="inlineStr">
        <is>
          <t>Shoulders + Threshold Cycle 2x8min</t>
        </is>
      </c>
      <c r="F85" s="45" t="n"/>
      <c r="G85" s="45" t="n"/>
      <c r="H85" s="45" t="n"/>
      <c r="I85" s="45" t="n"/>
      <c r="J85" s="45" t="n"/>
      <c r="K85" s="45" t="n"/>
      <c r="L85" s="37" t="n"/>
    </row>
    <row r="86" ht="20" customHeight="1">
      <c r="A86" s="28" t="n">
        <v>82</v>
      </c>
      <c r="B86" s="28" t="n">
        <v>12</v>
      </c>
      <c r="C86" s="43" t="n">
        <v>46276</v>
      </c>
      <c r="D86" s="28" t="inlineStr">
        <is>
          <t>Friday</t>
        </is>
      </c>
      <c r="E86" s="7" t="inlineStr">
        <is>
          <t>Chest + Back Density + Hybrid 3 rounds: 40m carry + 12 burpees + 20 lunges</t>
        </is>
      </c>
      <c r="F86" s="45" t="n"/>
      <c r="G86" s="45" t="n"/>
      <c r="H86" s="45" t="n"/>
      <c r="I86" s="45" t="n"/>
      <c r="J86" s="45" t="n"/>
      <c r="K86" s="45" t="n"/>
      <c r="L86" s="37" t="n"/>
    </row>
    <row r="87" ht="20" customHeight="1">
      <c r="A87" s="28" t="n">
        <v>83</v>
      </c>
      <c r="B87" s="28" t="n">
        <v>12</v>
      </c>
      <c r="C87" s="43" t="n">
        <v>46277</v>
      </c>
      <c r="D87" s="28" t="inlineStr">
        <is>
          <t>Saturday</t>
        </is>
      </c>
      <c r="E87" s="7" t="inlineStr">
        <is>
          <t>Legs + Posterior Chain + Long Ride 1h00 Zone 2</t>
        </is>
      </c>
      <c r="F87" s="45" t="n"/>
      <c r="G87" s="45" t="n"/>
      <c r="H87" s="45" t="n"/>
      <c r="I87" s="45" t="n"/>
      <c r="J87" s="45" t="n"/>
      <c r="K87" s="45" t="n"/>
      <c r="L87" s="37" t="n"/>
    </row>
    <row r="88" ht="20" customHeight="1">
      <c r="A88" s="28" t="n">
        <v>84</v>
      </c>
      <c r="B88" s="28" t="n">
        <v>12</v>
      </c>
      <c r="C88" s="43" t="n">
        <v>46278</v>
      </c>
      <c r="D88" s="28" t="inlineStr">
        <is>
          <t>Sunday</t>
        </is>
      </c>
      <c r="E88" s="7" t="inlineStr">
        <is>
          <t>Arms + Core + Long Run 35 min easy (Zone 2)</t>
        </is>
      </c>
      <c r="F88" s="45" t="n"/>
      <c r="G88" s="45" t="n"/>
      <c r="H88" s="45" t="n"/>
      <c r="I88" s="45" t="n"/>
      <c r="J88" s="45" t="n"/>
      <c r="K88" s="45" t="n"/>
      <c r="L88" s="37" t="n"/>
    </row>
    <row r="89" ht="20" customHeight="1">
      <c r="A89" s="28" t="n">
        <v>85</v>
      </c>
      <c r="B89" s="28" t="n">
        <v>13</v>
      </c>
      <c r="C89" s="43" t="n">
        <v>46279</v>
      </c>
      <c r="D89" s="28" t="inlineStr">
        <is>
          <t>Monday</t>
        </is>
      </c>
      <c r="E89" s="7" t="inlineStr">
        <is>
          <t>Chest + Biceps + Zone 2 Cycle 55 min</t>
        </is>
      </c>
      <c r="F89" s="45" t="n"/>
      <c r="G89" s="45" t="n"/>
      <c r="H89" s="45" t="n"/>
      <c r="I89" s="45" t="n"/>
      <c r="J89" s="45" t="n"/>
      <c r="K89" s="45" t="n"/>
      <c r="L89" s="37" t="n"/>
    </row>
    <row r="90" ht="20" customHeight="1">
      <c r="A90" s="28" t="n">
        <v>86</v>
      </c>
      <c r="B90" s="28" t="n">
        <v>13</v>
      </c>
      <c r="C90" s="43" t="n">
        <v>46280</v>
      </c>
      <c r="D90" s="28" t="inlineStr">
        <is>
          <t>Tuesday</t>
        </is>
      </c>
      <c r="E90" s="7" t="inlineStr">
        <is>
          <t>Back + Triceps + VO2 Bike 6x3min</t>
        </is>
      </c>
      <c r="F90" s="45" t="n"/>
      <c r="G90" s="45" t="n"/>
      <c r="H90" s="45" t="n"/>
      <c r="I90" s="45" t="n"/>
      <c r="J90" s="45" t="n"/>
      <c r="K90" s="45" t="n"/>
      <c r="L90" s="37" t="n"/>
    </row>
    <row r="91" ht="20" customHeight="1">
      <c r="A91" s="28" t="n">
        <v>87</v>
      </c>
      <c r="B91" s="28" t="n">
        <v>13</v>
      </c>
      <c r="C91" s="43" t="n">
        <v>46281</v>
      </c>
      <c r="D91" s="28" t="inlineStr">
        <is>
          <t>Wednesday</t>
        </is>
      </c>
      <c r="E91" s="7" t="inlineStr">
        <is>
          <t>Legs Volume + Easy Run 45 min</t>
        </is>
      </c>
      <c r="F91" s="45" t="n"/>
      <c r="G91" s="45" t="n"/>
      <c r="H91" s="45" t="n"/>
      <c r="I91" s="45" t="n"/>
      <c r="J91" s="45" t="n"/>
      <c r="K91" s="45" t="n"/>
      <c r="L91" s="37" t="n"/>
    </row>
    <row r="92" ht="20" customHeight="1">
      <c r="A92" s="28" t="n">
        <v>88</v>
      </c>
      <c r="B92" s="28" t="n">
        <v>13</v>
      </c>
      <c r="C92" s="43" t="n">
        <v>46282</v>
      </c>
      <c r="D92" s="28" t="inlineStr">
        <is>
          <t>Thursday</t>
        </is>
      </c>
      <c r="E92" s="7" t="inlineStr">
        <is>
          <t>Shoulders + Threshold Cycle 2x10min</t>
        </is>
      </c>
      <c r="F92" s="45" t="n"/>
      <c r="G92" s="45" t="n"/>
      <c r="H92" s="45" t="n"/>
      <c r="I92" s="45" t="n"/>
      <c r="J92" s="45" t="n"/>
      <c r="K92" s="45" t="n"/>
      <c r="L92" s="37" t="n"/>
    </row>
    <row r="93" ht="20" customHeight="1">
      <c r="A93" s="28" t="n">
        <v>89</v>
      </c>
      <c r="B93" s="28" t="n">
        <v>13</v>
      </c>
      <c r="C93" s="43" t="n">
        <v>46283</v>
      </c>
      <c r="D93" s="28" t="inlineStr">
        <is>
          <t>Friday</t>
        </is>
      </c>
      <c r="E93" s="7" t="inlineStr">
        <is>
          <t>Chest + Back Density + Hybrid 3 rounds: 40m carry + 12 burpees + 20 lunges</t>
        </is>
      </c>
      <c r="F93" s="45" t="n"/>
      <c r="G93" s="45" t="n"/>
      <c r="H93" s="45" t="n"/>
      <c r="I93" s="45" t="n"/>
      <c r="J93" s="45" t="n"/>
      <c r="K93" s="45" t="n"/>
      <c r="L93" s="37" t="n"/>
    </row>
    <row r="94" ht="20" customHeight="1">
      <c r="A94" s="28" t="n">
        <v>90</v>
      </c>
      <c r="B94" s="28" t="n">
        <v>13</v>
      </c>
      <c r="C94" s="43" t="n">
        <v>46284</v>
      </c>
      <c r="D94" s="28" t="inlineStr">
        <is>
          <t>Saturday</t>
        </is>
      </c>
      <c r="E94" s="7" t="inlineStr">
        <is>
          <t>Legs + Posterior Chain + Long Ride 2h15 Zone 2</t>
        </is>
      </c>
      <c r="F94" s="45" t="n"/>
      <c r="G94" s="45" t="n"/>
      <c r="H94" s="45" t="n"/>
      <c r="I94" s="45" t="n"/>
      <c r="J94" s="45" t="n"/>
      <c r="K94" s="45" t="n"/>
      <c r="L94" s="37" t="n"/>
    </row>
    <row r="95" ht="20" customHeight="1">
      <c r="A95" s="28" t="n">
        <v>91</v>
      </c>
      <c r="B95" s="28" t="n">
        <v>13</v>
      </c>
      <c r="C95" s="43" t="n">
        <v>46285</v>
      </c>
      <c r="D95" s="28" t="inlineStr">
        <is>
          <t>Sunday</t>
        </is>
      </c>
      <c r="E95" s="7" t="inlineStr">
        <is>
          <t>Arms + Core + Long Run 1h06 easy (Zone 2)</t>
        </is>
      </c>
      <c r="F95" s="45" t="n"/>
      <c r="G95" s="45" t="n"/>
      <c r="H95" s="45" t="n"/>
      <c r="I95" s="45" t="n"/>
      <c r="J95" s="45" t="n"/>
      <c r="K95" s="45" t="n"/>
      <c r="L95" s="37" t="n"/>
    </row>
    <row r="96" ht="20" customHeight="1">
      <c r="A96" s="28" t="n">
        <v>92</v>
      </c>
      <c r="B96" s="28" t="n">
        <v>14</v>
      </c>
      <c r="C96" s="43" t="n">
        <v>46286</v>
      </c>
      <c r="D96" s="28" t="inlineStr">
        <is>
          <t>Monday</t>
        </is>
      </c>
      <c r="E96" s="7" t="inlineStr">
        <is>
          <t>Chest + Biceps + Zone 2 Cycle 55 min</t>
        </is>
      </c>
      <c r="F96" s="45" t="n"/>
      <c r="G96" s="45" t="n"/>
      <c r="H96" s="45" t="n"/>
      <c r="I96" s="45" t="n"/>
      <c r="J96" s="45" t="n"/>
      <c r="K96" s="45" t="n"/>
      <c r="L96" s="37" t="n"/>
    </row>
    <row r="97" ht="20" customHeight="1">
      <c r="A97" s="28" t="n">
        <v>93</v>
      </c>
      <c r="B97" s="28" t="n">
        <v>14</v>
      </c>
      <c r="C97" s="43" t="n">
        <v>46287</v>
      </c>
      <c r="D97" s="28" t="inlineStr">
        <is>
          <t>Tuesday</t>
        </is>
      </c>
      <c r="E97" s="7" t="inlineStr">
        <is>
          <t>Back + Triceps + VO2 Bike 6x3min</t>
        </is>
      </c>
      <c r="F97" s="45" t="n"/>
      <c r="G97" s="45" t="n"/>
      <c r="H97" s="45" t="n"/>
      <c r="I97" s="45" t="n"/>
      <c r="J97" s="45" t="n"/>
      <c r="K97" s="45" t="n"/>
      <c r="L97" s="37" t="n"/>
    </row>
    <row r="98" ht="20" customHeight="1">
      <c r="A98" s="28" t="n">
        <v>94</v>
      </c>
      <c r="B98" s="28" t="n">
        <v>14</v>
      </c>
      <c r="C98" s="43" t="n">
        <v>46288</v>
      </c>
      <c r="D98" s="28" t="inlineStr">
        <is>
          <t>Wednesday</t>
        </is>
      </c>
      <c r="E98" s="7" t="inlineStr">
        <is>
          <t>Legs Volume + Easy Run 45 min</t>
        </is>
      </c>
      <c r="F98" s="45" t="n"/>
      <c r="G98" s="45" t="n"/>
      <c r="H98" s="45" t="n"/>
      <c r="I98" s="45" t="n"/>
      <c r="J98" s="45" t="n"/>
      <c r="K98" s="45" t="n"/>
      <c r="L98" s="37" t="n"/>
    </row>
    <row r="99" ht="20" customHeight="1">
      <c r="A99" s="28" t="n">
        <v>95</v>
      </c>
      <c r="B99" s="28" t="n">
        <v>14</v>
      </c>
      <c r="C99" s="43" t="n">
        <v>46289</v>
      </c>
      <c r="D99" s="28" t="inlineStr">
        <is>
          <t>Thursday</t>
        </is>
      </c>
      <c r="E99" s="7" t="inlineStr">
        <is>
          <t>Shoulders + Threshold Cycle 2x12min</t>
        </is>
      </c>
      <c r="F99" s="45" t="n"/>
      <c r="G99" s="45" t="n"/>
      <c r="H99" s="45" t="n"/>
      <c r="I99" s="45" t="n"/>
      <c r="J99" s="45" t="n"/>
      <c r="K99" s="45" t="n"/>
      <c r="L99" s="37" t="n"/>
    </row>
    <row r="100" ht="20" customHeight="1">
      <c r="A100" s="28" t="n">
        <v>96</v>
      </c>
      <c r="B100" s="28" t="n">
        <v>14</v>
      </c>
      <c r="C100" s="43" t="n">
        <v>46290</v>
      </c>
      <c r="D100" s="28" t="inlineStr">
        <is>
          <t>Friday</t>
        </is>
      </c>
      <c r="E100" s="7" t="inlineStr">
        <is>
          <t>Chest + Back Density + Hybrid 4 rounds: 40m carry + 12 burpees + 20 lunges</t>
        </is>
      </c>
      <c r="F100" s="45" t="n"/>
      <c r="G100" s="45" t="n"/>
      <c r="H100" s="45" t="n"/>
      <c r="I100" s="45" t="n"/>
      <c r="J100" s="45" t="n"/>
      <c r="K100" s="45" t="n"/>
      <c r="L100" s="37" t="n"/>
    </row>
    <row r="101" ht="20" customHeight="1">
      <c r="A101" s="28" t="n">
        <v>97</v>
      </c>
      <c r="B101" s="28" t="n">
        <v>14</v>
      </c>
      <c r="C101" s="43" t="n">
        <v>46291</v>
      </c>
      <c r="D101" s="28" t="inlineStr">
        <is>
          <t>Saturday</t>
        </is>
      </c>
      <c r="E101" s="7" t="inlineStr">
        <is>
          <t>Legs + Posterior Chain + Long Ride 2h15 Zone 2</t>
        </is>
      </c>
      <c r="F101" s="45" t="n"/>
      <c r="G101" s="45" t="n"/>
      <c r="H101" s="45" t="n"/>
      <c r="I101" s="45" t="n"/>
      <c r="J101" s="45" t="n"/>
      <c r="K101" s="45" t="n"/>
      <c r="L101" s="37" t="n"/>
    </row>
    <row r="102" ht="20" customHeight="1">
      <c r="A102" s="28" t="n">
        <v>98</v>
      </c>
      <c r="B102" s="28" t="n">
        <v>14</v>
      </c>
      <c r="C102" s="43" t="n">
        <v>46292</v>
      </c>
      <c r="D102" s="28" t="inlineStr">
        <is>
          <t>Sunday</t>
        </is>
      </c>
      <c r="E102" s="7" t="inlineStr">
        <is>
          <t>Arms + Core + Long Run 1h06 easy (Zone 2)</t>
        </is>
      </c>
      <c r="F102" s="45" t="n"/>
      <c r="G102" s="45" t="n"/>
      <c r="H102" s="45" t="n"/>
      <c r="I102" s="45" t="n"/>
      <c r="J102" s="45" t="n"/>
      <c r="K102" s="45" t="n"/>
      <c r="L102" s="37" t="n"/>
    </row>
    <row r="103" ht="20" customHeight="1">
      <c r="A103" s="28" t="n">
        <v>99</v>
      </c>
      <c r="B103" s="28" t="n">
        <v>15</v>
      </c>
      <c r="C103" s="43" t="n">
        <v>46293</v>
      </c>
      <c r="D103" s="28" t="inlineStr">
        <is>
          <t>Monday</t>
        </is>
      </c>
      <c r="E103" s="7" t="inlineStr">
        <is>
          <t>Chest + Biceps + Zone 2 Cycle 1h05</t>
        </is>
      </c>
      <c r="F103" s="45" t="n"/>
      <c r="G103" s="45" t="n"/>
      <c r="H103" s="45" t="n"/>
      <c r="I103" s="45" t="n"/>
      <c r="J103" s="45" t="n"/>
      <c r="K103" s="45" t="n"/>
      <c r="L103" s="37" t="n"/>
    </row>
    <row r="104" ht="20" customHeight="1">
      <c r="A104" s="28" t="n">
        <v>100</v>
      </c>
      <c r="B104" s="28" t="n">
        <v>15</v>
      </c>
      <c r="C104" s="43" t="n">
        <v>46294</v>
      </c>
      <c r="D104" s="28" t="inlineStr">
        <is>
          <t>Tuesday</t>
        </is>
      </c>
      <c r="E104" s="7" t="inlineStr">
        <is>
          <t>Back + Triceps + VO2 Bike 6x3min</t>
        </is>
      </c>
      <c r="F104" s="45" t="n"/>
      <c r="G104" s="45" t="n"/>
      <c r="H104" s="45" t="n"/>
      <c r="I104" s="45" t="n"/>
      <c r="J104" s="45" t="n"/>
      <c r="K104" s="45" t="n"/>
      <c r="L104" s="37" t="n"/>
    </row>
    <row r="105" ht="20" customHeight="1">
      <c r="A105" s="28" t="n">
        <v>101</v>
      </c>
      <c r="B105" s="28" t="n">
        <v>15</v>
      </c>
      <c r="C105" s="43" t="n">
        <v>46295</v>
      </c>
      <c r="D105" s="28" t="inlineStr">
        <is>
          <t>Wednesday</t>
        </is>
      </c>
      <c r="E105" s="7" t="inlineStr">
        <is>
          <t>Legs Volume + Easy Run 50 min</t>
        </is>
      </c>
      <c r="F105" s="45" t="n"/>
      <c r="G105" s="45" t="n"/>
      <c r="H105" s="45" t="n"/>
      <c r="I105" s="45" t="n"/>
      <c r="J105" s="45" t="n"/>
      <c r="K105" s="45" t="n"/>
      <c r="L105" s="37" t="n"/>
    </row>
    <row r="106" ht="20" customHeight="1">
      <c r="A106" s="28" t="n">
        <v>102</v>
      </c>
      <c r="B106" s="28" t="n">
        <v>15</v>
      </c>
      <c r="C106" s="43" t="n">
        <v>46296</v>
      </c>
      <c r="D106" s="28" t="inlineStr">
        <is>
          <t>Thursday</t>
        </is>
      </c>
      <c r="E106" s="7" t="inlineStr">
        <is>
          <t>Shoulders + Threshold Cycle 3x12min</t>
        </is>
      </c>
      <c r="F106" s="45" t="n"/>
      <c r="G106" s="45" t="n"/>
      <c r="H106" s="45" t="n"/>
      <c r="I106" s="45" t="n"/>
      <c r="J106" s="45" t="n"/>
      <c r="K106" s="45" t="n"/>
      <c r="L106" s="37" t="n"/>
    </row>
    <row r="107" ht="20" customHeight="1">
      <c r="A107" s="28" t="n">
        <v>103</v>
      </c>
      <c r="B107" s="28" t="n">
        <v>15</v>
      </c>
      <c r="C107" s="43" t="n">
        <v>46297</v>
      </c>
      <c r="D107" s="28" t="inlineStr">
        <is>
          <t>Friday</t>
        </is>
      </c>
      <c r="E107" s="7" t="inlineStr">
        <is>
          <t>Chest + Back Density + Hybrid 5 rounds: 40m carry + 12 burpees + 20 lunges</t>
        </is>
      </c>
      <c r="F107" s="45" t="n"/>
      <c r="G107" s="45" t="n"/>
      <c r="H107" s="45" t="n"/>
      <c r="I107" s="45" t="n"/>
      <c r="J107" s="45" t="n"/>
      <c r="K107" s="45" t="n"/>
      <c r="L107" s="37" t="n"/>
    </row>
    <row r="108" ht="20" customHeight="1">
      <c r="A108" s="28" t="n">
        <v>104</v>
      </c>
      <c r="B108" s="28" t="n">
        <v>15</v>
      </c>
      <c r="C108" s="43" t="n">
        <v>46298</v>
      </c>
      <c r="D108" s="28" t="inlineStr">
        <is>
          <t>Saturday</t>
        </is>
      </c>
      <c r="E108" s="7" t="inlineStr">
        <is>
          <t>Legs + Posterior Chain + Long Ride 2h30 Zone 2</t>
        </is>
      </c>
      <c r="F108" s="45" t="n"/>
      <c r="G108" s="45" t="n"/>
      <c r="H108" s="45" t="n"/>
      <c r="I108" s="45" t="n"/>
      <c r="J108" s="45" t="n"/>
      <c r="K108" s="45" t="n"/>
      <c r="L108" s="37" t="n"/>
    </row>
    <row r="109" ht="20" customHeight="1">
      <c r="A109" s="28" t="n">
        <v>105</v>
      </c>
      <c r="B109" s="28" t="n">
        <v>15</v>
      </c>
      <c r="C109" s="43" t="n">
        <v>46299</v>
      </c>
      <c r="D109" s="28" t="inlineStr">
        <is>
          <t>Sunday</t>
        </is>
      </c>
      <c r="E109" s="7" t="inlineStr">
        <is>
          <t>Arms + Core + Long Run 1h14 easy (Zone 2)</t>
        </is>
      </c>
      <c r="F109" s="45" t="n"/>
      <c r="G109" s="45" t="n"/>
      <c r="H109" s="45" t="n"/>
      <c r="I109" s="45" t="n"/>
      <c r="J109" s="45" t="n"/>
      <c r="K109" s="45" t="n"/>
      <c r="L109" s="37" t="n"/>
    </row>
    <row r="110" ht="20" customHeight="1">
      <c r="A110" s="28" t="n">
        <v>106</v>
      </c>
      <c r="B110" s="28" t="n">
        <v>16</v>
      </c>
      <c r="C110" s="43" t="n">
        <v>46300</v>
      </c>
      <c r="D110" s="28" t="inlineStr">
        <is>
          <t>Monday</t>
        </is>
      </c>
      <c r="E110" s="7" t="inlineStr">
        <is>
          <t>Chest + Biceps + Zone 2 Cycle 30 min</t>
        </is>
      </c>
      <c r="F110" s="45" t="n"/>
      <c r="G110" s="45" t="n"/>
      <c r="H110" s="45" t="n"/>
      <c r="I110" s="45" t="n"/>
      <c r="J110" s="45" t="n"/>
      <c r="K110" s="45" t="n"/>
      <c r="L110" s="37" t="n"/>
    </row>
    <row r="111" ht="20" customHeight="1">
      <c r="A111" s="28" t="n">
        <v>107</v>
      </c>
      <c r="B111" s="28" t="n">
        <v>16</v>
      </c>
      <c r="C111" s="43" t="n">
        <v>46301</v>
      </c>
      <c r="D111" s="28" t="inlineStr">
        <is>
          <t>Tuesday</t>
        </is>
      </c>
      <c r="E111" s="7" t="inlineStr">
        <is>
          <t>Back + Triceps + VO2 Bike 3x3min</t>
        </is>
      </c>
      <c r="F111" s="45" t="n"/>
      <c r="G111" s="45" t="n"/>
      <c r="H111" s="45" t="n"/>
      <c r="I111" s="45" t="n"/>
      <c r="J111" s="45" t="n"/>
      <c r="K111" s="45" t="n"/>
      <c r="L111" s="37" t="n"/>
    </row>
    <row r="112" ht="20" customHeight="1">
      <c r="A112" s="28" t="n">
        <v>108</v>
      </c>
      <c r="B112" s="28" t="n">
        <v>16</v>
      </c>
      <c r="C112" s="43" t="n">
        <v>46302</v>
      </c>
      <c r="D112" s="28" t="inlineStr">
        <is>
          <t>Wednesday</t>
        </is>
      </c>
      <c r="E112" s="7" t="inlineStr">
        <is>
          <t>Legs Volume + Easy Run 25 min</t>
        </is>
      </c>
      <c r="F112" s="45" t="n"/>
      <c r="G112" s="45" t="n"/>
      <c r="H112" s="45" t="n"/>
      <c r="I112" s="45" t="n"/>
      <c r="J112" s="45" t="n"/>
      <c r="K112" s="45" t="n"/>
      <c r="L112" s="37" t="n"/>
    </row>
    <row r="113" ht="20" customHeight="1">
      <c r="A113" s="28" t="n">
        <v>109</v>
      </c>
      <c r="B113" s="28" t="n">
        <v>16</v>
      </c>
      <c r="C113" s="43" t="n">
        <v>46303</v>
      </c>
      <c r="D113" s="28" t="inlineStr">
        <is>
          <t>Thursday</t>
        </is>
      </c>
      <c r="E113" s="7" t="inlineStr">
        <is>
          <t>Shoulders + Threshold Cycle 2x8min</t>
        </is>
      </c>
      <c r="F113" s="45" t="n"/>
      <c r="G113" s="45" t="n"/>
      <c r="H113" s="45" t="n"/>
      <c r="I113" s="45" t="n"/>
      <c r="J113" s="45" t="n"/>
      <c r="K113" s="45" t="n"/>
      <c r="L113" s="37" t="n"/>
    </row>
    <row r="114" ht="20" customHeight="1">
      <c r="A114" s="28" t="n">
        <v>110</v>
      </c>
      <c r="B114" s="28" t="n">
        <v>16</v>
      </c>
      <c r="C114" s="43" t="n">
        <v>46304</v>
      </c>
      <c r="D114" s="28" t="inlineStr">
        <is>
          <t>Friday</t>
        </is>
      </c>
      <c r="E114" s="7" t="inlineStr">
        <is>
          <t>Chest + Back Density + Hybrid 3 rounds: 40m carry + 12 burpees + 20 lunges</t>
        </is>
      </c>
      <c r="F114" s="45" t="n"/>
      <c r="G114" s="45" t="n"/>
      <c r="H114" s="45" t="n"/>
      <c r="I114" s="45" t="n"/>
      <c r="J114" s="45" t="n"/>
      <c r="K114" s="45" t="n"/>
      <c r="L114" s="37" t="n"/>
    </row>
    <row r="115" ht="20" customHeight="1">
      <c r="A115" s="28" t="n">
        <v>111</v>
      </c>
      <c r="B115" s="28" t="n">
        <v>16</v>
      </c>
      <c r="C115" s="43" t="n">
        <v>46305</v>
      </c>
      <c r="D115" s="28" t="inlineStr">
        <is>
          <t>Saturday</t>
        </is>
      </c>
      <c r="E115" s="7" t="inlineStr">
        <is>
          <t>Legs + Posterior Chain + Long Ride 1h15 Zone 2</t>
        </is>
      </c>
      <c r="F115" s="45" t="n"/>
      <c r="G115" s="45" t="n"/>
      <c r="H115" s="45" t="n"/>
      <c r="I115" s="45" t="n"/>
      <c r="J115" s="45" t="n"/>
      <c r="K115" s="45" t="n"/>
      <c r="L115" s="37" t="n"/>
    </row>
    <row r="116" ht="20" customHeight="1">
      <c r="A116" s="28" t="n">
        <v>112</v>
      </c>
      <c r="B116" s="28" t="n">
        <v>16</v>
      </c>
      <c r="C116" s="43" t="n">
        <v>46306</v>
      </c>
      <c r="D116" s="28" t="inlineStr">
        <is>
          <t>Sunday</t>
        </is>
      </c>
      <c r="E116" s="7" t="inlineStr">
        <is>
          <t>Arms + Core + Long Run 35 min easy (Zone 2)</t>
        </is>
      </c>
      <c r="F116" s="45" t="n"/>
      <c r="G116" s="45" t="n"/>
      <c r="H116" s="45" t="n"/>
      <c r="I116" s="45" t="n"/>
      <c r="J116" s="45" t="n"/>
      <c r="K116" s="45" t="n"/>
      <c r="L116" s="37" t="n"/>
    </row>
    <row r="117" ht="20" customHeight="1">
      <c r="A117" s="28" t="n">
        <v>113</v>
      </c>
      <c r="B117" s="28" t="n">
        <v>17</v>
      </c>
      <c r="C117" s="43" t="n">
        <v>46307</v>
      </c>
      <c r="D117" s="28" t="inlineStr">
        <is>
          <t>Monday</t>
        </is>
      </c>
      <c r="E117" s="7" t="inlineStr">
        <is>
          <t>Chest + Biceps + Zone 2 Cycle 1h00</t>
        </is>
      </c>
      <c r="F117" s="45" t="n"/>
      <c r="G117" s="45" t="n"/>
      <c r="H117" s="45" t="n"/>
      <c r="I117" s="45" t="n"/>
      <c r="J117" s="45" t="n"/>
      <c r="K117" s="45" t="n"/>
      <c r="L117" s="37" t="n"/>
    </row>
    <row r="118" ht="20" customHeight="1">
      <c r="A118" s="28" t="n">
        <v>114</v>
      </c>
      <c r="B118" s="28" t="n">
        <v>17</v>
      </c>
      <c r="C118" s="43" t="n">
        <v>46308</v>
      </c>
      <c r="D118" s="28" t="inlineStr">
        <is>
          <t>Tuesday</t>
        </is>
      </c>
      <c r="E118" s="7" t="inlineStr">
        <is>
          <t>Back + Triceps + VO2 Bike 6x3min</t>
        </is>
      </c>
      <c r="F118" s="45" t="n"/>
      <c r="G118" s="45" t="n"/>
      <c r="H118" s="45" t="n"/>
      <c r="I118" s="45" t="n"/>
      <c r="J118" s="45" t="n"/>
      <c r="K118" s="45" t="n"/>
      <c r="L118" s="37" t="n"/>
    </row>
    <row r="119" ht="20" customHeight="1">
      <c r="A119" s="28" t="n">
        <v>115</v>
      </c>
      <c r="B119" s="28" t="n">
        <v>17</v>
      </c>
      <c r="C119" s="43" t="n">
        <v>46309</v>
      </c>
      <c r="D119" s="28" t="inlineStr">
        <is>
          <t>Wednesday</t>
        </is>
      </c>
      <c r="E119" s="7" t="inlineStr">
        <is>
          <t>Legs Volume + Easy Run 50 min</t>
        </is>
      </c>
      <c r="F119" s="45" t="n"/>
      <c r="G119" s="45" t="n"/>
      <c r="H119" s="45" t="n"/>
      <c r="I119" s="45" t="n"/>
      <c r="J119" s="45" t="n"/>
      <c r="K119" s="45" t="n"/>
      <c r="L119" s="37" t="n"/>
    </row>
    <row r="120" ht="20" customHeight="1">
      <c r="A120" s="28" t="n">
        <v>116</v>
      </c>
      <c r="B120" s="28" t="n">
        <v>17</v>
      </c>
      <c r="C120" s="43" t="n">
        <v>46310</v>
      </c>
      <c r="D120" s="28" t="inlineStr">
        <is>
          <t>Thursday</t>
        </is>
      </c>
      <c r="E120" s="7" t="inlineStr">
        <is>
          <t>Shoulders + Threshold Cycle 2x10min</t>
        </is>
      </c>
      <c r="F120" s="45" t="n"/>
      <c r="G120" s="45" t="n"/>
      <c r="H120" s="45" t="n"/>
      <c r="I120" s="45" t="n"/>
      <c r="J120" s="45" t="n"/>
      <c r="K120" s="45" t="n"/>
      <c r="L120" s="37" t="n"/>
    </row>
    <row r="121" ht="20" customHeight="1">
      <c r="A121" s="28" t="n">
        <v>117</v>
      </c>
      <c r="B121" s="28" t="n">
        <v>17</v>
      </c>
      <c r="C121" s="43" t="n">
        <v>46311</v>
      </c>
      <c r="D121" s="28" t="inlineStr">
        <is>
          <t>Friday</t>
        </is>
      </c>
      <c r="E121" s="7" t="inlineStr">
        <is>
          <t>Chest + Back Density + Hybrid 3 rounds: 40m carry + 12 burpees + 20 lunges</t>
        </is>
      </c>
      <c r="F121" s="45" t="n"/>
      <c r="G121" s="45" t="n"/>
      <c r="H121" s="45" t="n"/>
      <c r="I121" s="45" t="n"/>
      <c r="J121" s="45" t="n"/>
      <c r="K121" s="45" t="n"/>
      <c r="L121" s="37" t="n"/>
    </row>
    <row r="122" ht="20" customHeight="1">
      <c r="A122" s="28" t="n">
        <v>118</v>
      </c>
      <c r="B122" s="28" t="n">
        <v>17</v>
      </c>
      <c r="C122" s="43" t="n">
        <v>46312</v>
      </c>
      <c r="D122" s="28" t="inlineStr">
        <is>
          <t>Saturday</t>
        </is>
      </c>
      <c r="E122" s="7" t="inlineStr">
        <is>
          <t>Legs + Posterior Chain + Long Ride 2h30 Zone 2</t>
        </is>
      </c>
      <c r="F122" s="45" t="n"/>
      <c r="G122" s="45" t="n"/>
      <c r="H122" s="45" t="n"/>
      <c r="I122" s="45" t="n"/>
      <c r="J122" s="45" t="n"/>
      <c r="K122" s="45" t="n"/>
      <c r="L122" s="37" t="n"/>
    </row>
    <row r="123" ht="20" customHeight="1">
      <c r="A123" s="28" t="n">
        <v>119</v>
      </c>
      <c r="B123" s="28" t="n">
        <v>17</v>
      </c>
      <c r="C123" s="43" t="n">
        <v>46313</v>
      </c>
      <c r="D123" s="28" t="inlineStr">
        <is>
          <t>Sunday</t>
        </is>
      </c>
      <c r="E123" s="7" t="inlineStr">
        <is>
          <t>Arms + Core + Long Run 1h13 easy (Zone 2)</t>
        </is>
      </c>
      <c r="F123" s="45" t="n"/>
      <c r="G123" s="45" t="n"/>
      <c r="H123" s="45" t="n"/>
      <c r="I123" s="45" t="n"/>
      <c r="J123" s="45" t="n"/>
      <c r="K123" s="45" t="n"/>
      <c r="L123" s="37" t="n"/>
    </row>
    <row r="124" ht="20" customHeight="1">
      <c r="A124" s="28" t="n">
        <v>120</v>
      </c>
      <c r="B124" s="28" t="n">
        <v>18</v>
      </c>
      <c r="C124" s="43" t="n">
        <v>46314</v>
      </c>
      <c r="D124" s="28" t="inlineStr">
        <is>
          <t>Monday</t>
        </is>
      </c>
      <c r="E124" s="7" t="inlineStr">
        <is>
          <t>Chest + Biceps + Zone 2 Cycle 1h00</t>
        </is>
      </c>
      <c r="F124" s="45" t="n"/>
      <c r="G124" s="45" t="n"/>
      <c r="H124" s="45" t="n"/>
      <c r="I124" s="45" t="n"/>
      <c r="J124" s="45" t="n"/>
      <c r="K124" s="45" t="n"/>
      <c r="L124" s="37" t="n"/>
    </row>
    <row r="125" ht="20" customHeight="1">
      <c r="A125" s="28" t="n">
        <v>121</v>
      </c>
      <c r="B125" s="28" t="n">
        <v>18</v>
      </c>
      <c r="C125" s="43" t="n">
        <v>46315</v>
      </c>
      <c r="D125" s="28" t="inlineStr">
        <is>
          <t>Tuesday</t>
        </is>
      </c>
      <c r="E125" s="7" t="inlineStr">
        <is>
          <t>Back + Triceps + VO2 Bike 6x3min</t>
        </is>
      </c>
      <c r="F125" s="45" t="n"/>
      <c r="G125" s="45" t="n"/>
      <c r="H125" s="45" t="n"/>
      <c r="I125" s="45" t="n"/>
      <c r="J125" s="45" t="n"/>
      <c r="K125" s="45" t="n"/>
      <c r="L125" s="37" t="n"/>
    </row>
    <row r="126" ht="20" customHeight="1">
      <c r="A126" s="28" t="n">
        <v>122</v>
      </c>
      <c r="B126" s="28" t="n">
        <v>18</v>
      </c>
      <c r="C126" s="43" t="n">
        <v>46316</v>
      </c>
      <c r="D126" s="28" t="inlineStr">
        <is>
          <t>Wednesday</t>
        </is>
      </c>
      <c r="E126" s="7" t="inlineStr">
        <is>
          <t>Legs Volume + Easy Run 50 min</t>
        </is>
      </c>
      <c r="F126" s="45" t="n"/>
      <c r="G126" s="45" t="n"/>
      <c r="H126" s="45" t="n"/>
      <c r="I126" s="45" t="n"/>
      <c r="J126" s="45" t="n"/>
      <c r="K126" s="45" t="n"/>
      <c r="L126" s="37" t="n"/>
    </row>
    <row r="127" ht="20" customHeight="1">
      <c r="A127" s="28" t="n">
        <v>123</v>
      </c>
      <c r="B127" s="28" t="n">
        <v>18</v>
      </c>
      <c r="C127" s="43" t="n">
        <v>46317</v>
      </c>
      <c r="D127" s="28" t="inlineStr">
        <is>
          <t>Thursday</t>
        </is>
      </c>
      <c r="E127" s="7" t="inlineStr">
        <is>
          <t>Shoulders + Threshold Cycle 2x12min</t>
        </is>
      </c>
      <c r="F127" s="45" t="n"/>
      <c r="G127" s="45" t="n"/>
      <c r="H127" s="45" t="n"/>
      <c r="I127" s="45" t="n"/>
      <c r="J127" s="45" t="n"/>
      <c r="K127" s="45" t="n"/>
      <c r="L127" s="37" t="n"/>
    </row>
    <row r="128" ht="20" customHeight="1">
      <c r="A128" s="28" t="n">
        <v>124</v>
      </c>
      <c r="B128" s="28" t="n">
        <v>18</v>
      </c>
      <c r="C128" s="43" t="n">
        <v>46318</v>
      </c>
      <c r="D128" s="28" t="inlineStr">
        <is>
          <t>Friday</t>
        </is>
      </c>
      <c r="E128" s="7" t="inlineStr">
        <is>
          <t>Chest + Back Density + Hybrid 4 rounds: 40m carry + 12 burpees + 20 lunges</t>
        </is>
      </c>
      <c r="F128" s="45" t="n"/>
      <c r="G128" s="45" t="n"/>
      <c r="H128" s="45" t="n"/>
      <c r="I128" s="45" t="n"/>
      <c r="J128" s="45" t="n"/>
      <c r="K128" s="45" t="n"/>
      <c r="L128" s="37" t="n"/>
    </row>
    <row r="129" ht="20" customHeight="1">
      <c r="A129" s="28" t="n">
        <v>125</v>
      </c>
      <c r="B129" s="28" t="n">
        <v>18</v>
      </c>
      <c r="C129" s="43" t="n">
        <v>46319</v>
      </c>
      <c r="D129" s="28" t="inlineStr">
        <is>
          <t>Saturday</t>
        </is>
      </c>
      <c r="E129" s="7" t="inlineStr">
        <is>
          <t>Legs + Posterior Chain + Long Ride 2h30 Zone 2</t>
        </is>
      </c>
      <c r="F129" s="45" t="n"/>
      <c r="G129" s="45" t="n"/>
      <c r="H129" s="45" t="n"/>
      <c r="I129" s="45" t="n"/>
      <c r="J129" s="45" t="n"/>
      <c r="K129" s="45" t="n"/>
      <c r="L129" s="37" t="n"/>
    </row>
    <row r="130" ht="20" customHeight="1">
      <c r="A130" s="28" t="n">
        <v>126</v>
      </c>
      <c r="B130" s="28" t="n">
        <v>18</v>
      </c>
      <c r="C130" s="43" t="n">
        <v>46320</v>
      </c>
      <c r="D130" s="28" t="inlineStr">
        <is>
          <t>Sunday</t>
        </is>
      </c>
      <c r="E130" s="7" t="inlineStr">
        <is>
          <t>Arms + Core + Long Run 1h13 easy (Zone 2)</t>
        </is>
      </c>
      <c r="F130" s="45" t="n"/>
      <c r="G130" s="45" t="n"/>
      <c r="H130" s="45" t="n"/>
      <c r="I130" s="45" t="n"/>
      <c r="J130" s="45" t="n"/>
      <c r="K130" s="45" t="n"/>
      <c r="L130" s="37" t="n"/>
    </row>
    <row r="131" ht="20" customHeight="1">
      <c r="A131" s="28" t="n">
        <v>127</v>
      </c>
      <c r="B131" s="28" t="n">
        <v>19</v>
      </c>
      <c r="C131" s="43" t="n">
        <v>46321</v>
      </c>
      <c r="D131" s="28" t="inlineStr">
        <is>
          <t>Monday</t>
        </is>
      </c>
      <c r="E131" s="7" t="inlineStr">
        <is>
          <t>Chest + Biceps + Zone 2 Cycle 1h10</t>
        </is>
      </c>
      <c r="F131" s="45" t="n"/>
      <c r="G131" s="45" t="n"/>
      <c r="H131" s="45" t="n"/>
      <c r="I131" s="45" t="n"/>
      <c r="J131" s="45" t="n"/>
      <c r="K131" s="45" t="n"/>
      <c r="L131" s="37" t="n"/>
    </row>
    <row r="132" ht="20" customHeight="1">
      <c r="A132" s="28" t="n">
        <v>128</v>
      </c>
      <c r="B132" s="28" t="n">
        <v>19</v>
      </c>
      <c r="C132" s="43" t="n">
        <v>46322</v>
      </c>
      <c r="D132" s="28" t="inlineStr">
        <is>
          <t>Tuesday</t>
        </is>
      </c>
      <c r="E132" s="7" t="inlineStr">
        <is>
          <t>Back + Triceps + VO2 Bike 6x3min</t>
        </is>
      </c>
      <c r="F132" s="45" t="n"/>
      <c r="G132" s="45" t="n"/>
      <c r="H132" s="45" t="n"/>
      <c r="I132" s="45" t="n"/>
      <c r="J132" s="45" t="n"/>
      <c r="K132" s="45" t="n"/>
      <c r="L132" s="37" t="n"/>
    </row>
    <row r="133" ht="20" customHeight="1">
      <c r="A133" s="28" t="n">
        <v>129</v>
      </c>
      <c r="B133" s="28" t="n">
        <v>19</v>
      </c>
      <c r="C133" s="43" t="n">
        <v>46323</v>
      </c>
      <c r="D133" s="28" t="inlineStr">
        <is>
          <t>Wednesday</t>
        </is>
      </c>
      <c r="E133" s="7" t="inlineStr">
        <is>
          <t>Legs Volume + Easy Run 55 min</t>
        </is>
      </c>
      <c r="F133" s="45" t="n"/>
      <c r="G133" s="45" t="n"/>
      <c r="H133" s="45" t="n"/>
      <c r="I133" s="45" t="n"/>
      <c r="J133" s="45" t="n"/>
      <c r="K133" s="45" t="n"/>
      <c r="L133" s="37" t="n"/>
    </row>
    <row r="134" ht="20" customHeight="1">
      <c r="A134" s="28" t="n">
        <v>130</v>
      </c>
      <c r="B134" s="28" t="n">
        <v>19</v>
      </c>
      <c r="C134" s="43" t="n">
        <v>46324</v>
      </c>
      <c r="D134" s="28" t="inlineStr">
        <is>
          <t>Thursday</t>
        </is>
      </c>
      <c r="E134" s="7" t="inlineStr">
        <is>
          <t>Shoulders + Threshold Cycle 3x12min</t>
        </is>
      </c>
      <c r="F134" s="45" t="n"/>
      <c r="G134" s="45" t="n"/>
      <c r="H134" s="45" t="n"/>
      <c r="I134" s="45" t="n"/>
      <c r="J134" s="45" t="n"/>
      <c r="K134" s="45" t="n"/>
      <c r="L134" s="37" t="n"/>
    </row>
    <row r="135" ht="20" customHeight="1">
      <c r="A135" s="28" t="n">
        <v>131</v>
      </c>
      <c r="B135" s="28" t="n">
        <v>19</v>
      </c>
      <c r="C135" s="43" t="n">
        <v>46325</v>
      </c>
      <c r="D135" s="28" t="inlineStr">
        <is>
          <t>Friday</t>
        </is>
      </c>
      <c r="E135" s="7" t="inlineStr">
        <is>
          <t>Chest + Back Density + Hybrid 5 rounds: 40m carry + 12 burpees + 20 lunges</t>
        </is>
      </c>
      <c r="F135" s="45" t="n"/>
      <c r="G135" s="45" t="n"/>
      <c r="H135" s="45" t="n"/>
      <c r="I135" s="45" t="n"/>
      <c r="J135" s="45" t="n"/>
      <c r="K135" s="45" t="n"/>
      <c r="L135" s="37" t="n"/>
    </row>
    <row r="136" ht="20" customHeight="1">
      <c r="A136" s="28" t="n">
        <v>132</v>
      </c>
      <c r="B136" s="28" t="n">
        <v>19</v>
      </c>
      <c r="C136" s="43" t="n">
        <v>46326</v>
      </c>
      <c r="D136" s="28" t="inlineStr">
        <is>
          <t>Saturday</t>
        </is>
      </c>
      <c r="E136" s="7" t="inlineStr">
        <is>
          <t>Legs + Posterior Chain + Long Ride 2h45 Zone 2</t>
        </is>
      </c>
      <c r="F136" s="45" t="n"/>
      <c r="G136" s="45" t="n"/>
      <c r="H136" s="45" t="n"/>
      <c r="I136" s="45" t="n"/>
      <c r="J136" s="45" t="n"/>
      <c r="K136" s="45" t="n"/>
      <c r="L136" s="37" t="n"/>
    </row>
    <row r="137" ht="20" customHeight="1">
      <c r="A137" s="28" t="n">
        <v>133</v>
      </c>
      <c r="B137" s="28" t="n">
        <v>19</v>
      </c>
      <c r="C137" s="43" t="n">
        <v>46327</v>
      </c>
      <c r="D137" s="28" t="inlineStr">
        <is>
          <t>Sunday</t>
        </is>
      </c>
      <c r="E137" s="7" t="inlineStr">
        <is>
          <t>Arms + Core + Long Run 1h21 easy (Zone 2)</t>
        </is>
      </c>
      <c r="F137" s="45" t="n"/>
      <c r="G137" s="45" t="n"/>
      <c r="H137" s="45" t="n"/>
      <c r="I137" s="45" t="n"/>
      <c r="J137" s="45" t="n"/>
      <c r="K137" s="45" t="n"/>
      <c r="L137" s="37" t="n"/>
    </row>
    <row r="138" ht="20" customHeight="1">
      <c r="A138" s="28" t="n">
        <v>134</v>
      </c>
      <c r="B138" s="28" t="n">
        <v>20</v>
      </c>
      <c r="C138" s="43" t="n">
        <v>46328</v>
      </c>
      <c r="D138" s="28" t="inlineStr">
        <is>
          <t>Monday</t>
        </is>
      </c>
      <c r="E138" s="7" t="inlineStr">
        <is>
          <t>Chest + Biceps + Zone 2 Cycle 30 min</t>
        </is>
      </c>
      <c r="F138" s="45" t="n"/>
      <c r="G138" s="45" t="n"/>
      <c r="H138" s="45" t="n"/>
      <c r="I138" s="45" t="n"/>
      <c r="J138" s="45" t="n"/>
      <c r="K138" s="45" t="n"/>
      <c r="L138" s="37" t="n"/>
    </row>
    <row r="139" ht="20" customHeight="1">
      <c r="A139" s="28" t="n">
        <v>135</v>
      </c>
      <c r="B139" s="28" t="n">
        <v>20</v>
      </c>
      <c r="C139" s="43" t="n">
        <v>46329</v>
      </c>
      <c r="D139" s="28" t="inlineStr">
        <is>
          <t>Tuesday</t>
        </is>
      </c>
      <c r="E139" s="7" t="inlineStr">
        <is>
          <t>Back + Triceps + VO2 Bike 3x3min</t>
        </is>
      </c>
      <c r="F139" s="45" t="n"/>
      <c r="G139" s="45" t="n"/>
      <c r="H139" s="45" t="n"/>
      <c r="I139" s="45" t="n"/>
      <c r="J139" s="45" t="n"/>
      <c r="K139" s="45" t="n"/>
      <c r="L139" s="37" t="n"/>
    </row>
    <row r="140" ht="20" customHeight="1">
      <c r="A140" s="28" t="n">
        <v>136</v>
      </c>
      <c r="B140" s="28" t="n">
        <v>20</v>
      </c>
      <c r="C140" s="43" t="n">
        <v>46330</v>
      </c>
      <c r="D140" s="28" t="inlineStr">
        <is>
          <t>Wednesday</t>
        </is>
      </c>
      <c r="E140" s="7" t="inlineStr">
        <is>
          <t>Legs Volume + Easy Run 25 min</t>
        </is>
      </c>
      <c r="F140" s="45" t="n"/>
      <c r="G140" s="45" t="n"/>
      <c r="H140" s="45" t="n"/>
      <c r="I140" s="45" t="n"/>
      <c r="J140" s="45" t="n"/>
      <c r="K140" s="45" t="n"/>
      <c r="L140" s="37" t="n"/>
    </row>
    <row r="141" ht="20" customHeight="1">
      <c r="A141" s="28" t="n">
        <v>137</v>
      </c>
      <c r="B141" s="28" t="n">
        <v>20</v>
      </c>
      <c r="C141" s="43" t="n">
        <v>46331</v>
      </c>
      <c r="D141" s="28" t="inlineStr">
        <is>
          <t>Thursday</t>
        </is>
      </c>
      <c r="E141" s="7" t="inlineStr">
        <is>
          <t>Shoulders + Threshold Cycle 2x8min</t>
        </is>
      </c>
      <c r="F141" s="45" t="n"/>
      <c r="G141" s="45" t="n"/>
      <c r="H141" s="45" t="n"/>
      <c r="I141" s="45" t="n"/>
      <c r="J141" s="45" t="n"/>
      <c r="K141" s="45" t="n"/>
      <c r="L141" s="37" t="n"/>
    </row>
    <row r="142" ht="20" customHeight="1">
      <c r="A142" s="28" t="n">
        <v>138</v>
      </c>
      <c r="B142" s="28" t="n">
        <v>20</v>
      </c>
      <c r="C142" s="43" t="n">
        <v>46332</v>
      </c>
      <c r="D142" s="28" t="inlineStr">
        <is>
          <t>Friday</t>
        </is>
      </c>
      <c r="E142" s="7" t="inlineStr">
        <is>
          <t>Chest + Back Density + Hybrid 3 rounds: 40m carry + 12 burpees + 20 lunges</t>
        </is>
      </c>
      <c r="F142" s="45" t="n"/>
      <c r="G142" s="45" t="n"/>
      <c r="H142" s="45" t="n"/>
      <c r="I142" s="45" t="n"/>
      <c r="J142" s="45" t="n"/>
      <c r="K142" s="45" t="n"/>
      <c r="L142" s="37" t="n"/>
    </row>
    <row r="143" ht="20" customHeight="1">
      <c r="A143" s="28" t="n">
        <v>139</v>
      </c>
      <c r="B143" s="28" t="n">
        <v>20</v>
      </c>
      <c r="C143" s="43" t="n">
        <v>46333</v>
      </c>
      <c r="D143" s="28" t="inlineStr">
        <is>
          <t>Saturday</t>
        </is>
      </c>
      <c r="E143" s="7" t="inlineStr">
        <is>
          <t>Legs + Posterior Chain + Long Ride 1h30 Zone 2</t>
        </is>
      </c>
      <c r="F143" s="45" t="n"/>
      <c r="G143" s="45" t="n"/>
      <c r="H143" s="45" t="n"/>
      <c r="I143" s="45" t="n"/>
      <c r="J143" s="45" t="n"/>
      <c r="K143" s="45" t="n"/>
      <c r="L143" s="37" t="n"/>
    </row>
    <row r="144" ht="20" customHeight="1">
      <c r="A144" s="28" t="n">
        <v>140</v>
      </c>
      <c r="B144" s="28" t="n">
        <v>20</v>
      </c>
      <c r="C144" s="43" t="n">
        <v>46334</v>
      </c>
      <c r="D144" s="28" t="inlineStr">
        <is>
          <t>Sunday</t>
        </is>
      </c>
      <c r="E144" s="7" t="inlineStr">
        <is>
          <t>Arms + Core + Long Run 35 min easy (Zone 2)</t>
        </is>
      </c>
      <c r="F144" s="45" t="n"/>
      <c r="G144" s="45" t="n"/>
      <c r="H144" s="45" t="n"/>
      <c r="I144" s="45" t="n"/>
      <c r="J144" s="45" t="n"/>
      <c r="K144" s="45" t="n"/>
      <c r="L144" s="37" t="n"/>
    </row>
    <row r="145" ht="20" customHeight="1">
      <c r="A145" s="28" t="n">
        <v>141</v>
      </c>
      <c r="B145" s="28" t="n">
        <v>21</v>
      </c>
      <c r="C145" s="43" t="n">
        <v>46335</v>
      </c>
      <c r="D145" s="28" t="inlineStr">
        <is>
          <t>Monday</t>
        </is>
      </c>
      <c r="E145" s="7" t="inlineStr">
        <is>
          <t>Chest + Biceps + Zone 2 Cycle 1h05</t>
        </is>
      </c>
      <c r="F145" s="45" t="n"/>
      <c r="G145" s="45" t="n"/>
      <c r="H145" s="45" t="n"/>
      <c r="I145" s="45" t="n"/>
      <c r="J145" s="45" t="n"/>
      <c r="K145" s="45" t="n"/>
      <c r="L145" s="37" t="n"/>
    </row>
    <row r="146" ht="20" customHeight="1">
      <c r="A146" s="28" t="n">
        <v>142</v>
      </c>
      <c r="B146" s="28" t="n">
        <v>21</v>
      </c>
      <c r="C146" s="43" t="n">
        <v>46336</v>
      </c>
      <c r="D146" s="28" t="inlineStr">
        <is>
          <t>Tuesday</t>
        </is>
      </c>
      <c r="E146" s="7" t="inlineStr">
        <is>
          <t>Back + Triceps + VO2 Bike 6x3min</t>
        </is>
      </c>
      <c r="F146" s="45" t="n"/>
      <c r="G146" s="45" t="n"/>
      <c r="H146" s="45" t="n"/>
      <c r="I146" s="45" t="n"/>
      <c r="J146" s="45" t="n"/>
      <c r="K146" s="45" t="n"/>
      <c r="L146" s="37" t="n"/>
    </row>
    <row r="147" ht="20" customHeight="1">
      <c r="A147" s="28" t="n">
        <v>143</v>
      </c>
      <c r="B147" s="28" t="n">
        <v>21</v>
      </c>
      <c r="C147" s="43" t="n">
        <v>46337</v>
      </c>
      <c r="D147" s="28" t="inlineStr">
        <is>
          <t>Wednesday</t>
        </is>
      </c>
      <c r="E147" s="7" t="inlineStr">
        <is>
          <t>Legs Volume + Easy Run 55 min</t>
        </is>
      </c>
      <c r="F147" s="45" t="n"/>
      <c r="G147" s="45" t="n"/>
      <c r="H147" s="45" t="n"/>
      <c r="I147" s="45" t="n"/>
      <c r="J147" s="45" t="n"/>
      <c r="K147" s="45" t="n"/>
      <c r="L147" s="37" t="n"/>
    </row>
    <row r="148" ht="20" customHeight="1">
      <c r="A148" s="28" t="n">
        <v>144</v>
      </c>
      <c r="B148" s="28" t="n">
        <v>21</v>
      </c>
      <c r="C148" s="43" t="n">
        <v>46338</v>
      </c>
      <c r="D148" s="28" t="inlineStr">
        <is>
          <t>Thursday</t>
        </is>
      </c>
      <c r="E148" s="7" t="inlineStr">
        <is>
          <t>Shoulders + Threshold Cycle 2x10min</t>
        </is>
      </c>
      <c r="F148" s="45" t="n"/>
      <c r="G148" s="45" t="n"/>
      <c r="H148" s="45" t="n"/>
      <c r="I148" s="45" t="n"/>
      <c r="J148" s="45" t="n"/>
      <c r="K148" s="45" t="n"/>
      <c r="L148" s="37" t="n"/>
    </row>
    <row r="149" ht="20" customHeight="1">
      <c r="A149" s="28" t="n">
        <v>145</v>
      </c>
      <c r="B149" s="28" t="n">
        <v>21</v>
      </c>
      <c r="C149" s="43" t="n">
        <v>46339</v>
      </c>
      <c r="D149" s="28" t="inlineStr">
        <is>
          <t>Friday</t>
        </is>
      </c>
      <c r="E149" s="7" t="inlineStr">
        <is>
          <t>Chest + Back Density + Hybrid 3 rounds: 40m carry + 12 burpees + 20 lunges</t>
        </is>
      </c>
      <c r="F149" s="45" t="n"/>
      <c r="G149" s="45" t="n"/>
      <c r="H149" s="45" t="n"/>
      <c r="I149" s="45" t="n"/>
      <c r="J149" s="45" t="n"/>
      <c r="K149" s="45" t="n"/>
      <c r="L149" s="37" t="n"/>
    </row>
    <row r="150" ht="20" customHeight="1">
      <c r="A150" s="28" t="n">
        <v>146</v>
      </c>
      <c r="B150" s="28" t="n">
        <v>21</v>
      </c>
      <c r="C150" s="43" t="n">
        <v>46340</v>
      </c>
      <c r="D150" s="28" t="inlineStr">
        <is>
          <t>Saturday</t>
        </is>
      </c>
      <c r="E150" s="7" t="inlineStr">
        <is>
          <t>Legs + Posterior Chain + Long Ride 2h45 Zone 2</t>
        </is>
      </c>
      <c r="F150" s="45" t="n"/>
      <c r="G150" s="45" t="n"/>
      <c r="H150" s="45" t="n"/>
      <c r="I150" s="45" t="n"/>
      <c r="J150" s="45" t="n"/>
      <c r="K150" s="45" t="n"/>
      <c r="L150" s="37" t="n"/>
    </row>
    <row r="151" ht="20" customHeight="1">
      <c r="A151" s="28" t="n">
        <v>147</v>
      </c>
      <c r="B151" s="28" t="n">
        <v>21</v>
      </c>
      <c r="C151" s="43" t="n">
        <v>46341</v>
      </c>
      <c r="D151" s="28" t="inlineStr">
        <is>
          <t>Sunday</t>
        </is>
      </c>
      <c r="E151" s="7" t="inlineStr">
        <is>
          <t>Arms + Core + Long Run 1h20 easy (Zone 2)</t>
        </is>
      </c>
      <c r="F151" s="45" t="n"/>
      <c r="G151" s="45" t="n"/>
      <c r="H151" s="45" t="n"/>
      <c r="I151" s="45" t="n"/>
      <c r="J151" s="45" t="n"/>
      <c r="K151" s="45" t="n"/>
      <c r="L151" s="37" t="n"/>
    </row>
    <row r="152" ht="20" customHeight="1">
      <c r="A152" s="28" t="n">
        <v>148</v>
      </c>
      <c r="B152" s="28" t="n">
        <v>22</v>
      </c>
      <c r="C152" s="43" t="n">
        <v>46342</v>
      </c>
      <c r="D152" s="28" t="inlineStr">
        <is>
          <t>Monday</t>
        </is>
      </c>
      <c r="E152" s="7" t="inlineStr">
        <is>
          <t>Chest + Biceps + Zone 2 Cycle 1h05</t>
        </is>
      </c>
      <c r="F152" s="45" t="n"/>
      <c r="G152" s="45" t="n"/>
      <c r="H152" s="45" t="n"/>
      <c r="I152" s="45" t="n"/>
      <c r="J152" s="45" t="n"/>
      <c r="K152" s="45" t="n"/>
      <c r="L152" s="37" t="n"/>
    </row>
    <row r="153" ht="20" customHeight="1">
      <c r="A153" s="28" t="n">
        <v>149</v>
      </c>
      <c r="B153" s="28" t="n">
        <v>22</v>
      </c>
      <c r="C153" s="43" t="n">
        <v>46343</v>
      </c>
      <c r="D153" s="28" t="inlineStr">
        <is>
          <t>Tuesday</t>
        </is>
      </c>
      <c r="E153" s="7" t="inlineStr">
        <is>
          <t>Back + Triceps + VO2 Bike 6x3min</t>
        </is>
      </c>
      <c r="F153" s="45" t="n"/>
      <c r="G153" s="45" t="n"/>
      <c r="H153" s="45" t="n"/>
      <c r="I153" s="45" t="n"/>
      <c r="J153" s="45" t="n"/>
      <c r="K153" s="45" t="n"/>
      <c r="L153" s="37" t="n"/>
    </row>
    <row r="154" ht="20" customHeight="1">
      <c r="A154" s="28" t="n">
        <v>150</v>
      </c>
      <c r="B154" s="28" t="n">
        <v>22</v>
      </c>
      <c r="C154" s="43" t="n">
        <v>46344</v>
      </c>
      <c r="D154" s="28" t="inlineStr">
        <is>
          <t>Wednesday</t>
        </is>
      </c>
      <c r="E154" s="7" t="inlineStr">
        <is>
          <t>Legs Volume + Easy Run 55 min</t>
        </is>
      </c>
      <c r="F154" s="45" t="n"/>
      <c r="G154" s="45" t="n"/>
      <c r="H154" s="45" t="n"/>
      <c r="I154" s="45" t="n"/>
      <c r="J154" s="45" t="n"/>
      <c r="K154" s="45" t="n"/>
      <c r="L154" s="37" t="n"/>
    </row>
    <row r="155" ht="20" customHeight="1">
      <c r="A155" s="28" t="n">
        <v>151</v>
      </c>
      <c r="B155" s="28" t="n">
        <v>22</v>
      </c>
      <c r="C155" s="43" t="n">
        <v>46345</v>
      </c>
      <c r="D155" s="28" t="inlineStr">
        <is>
          <t>Thursday</t>
        </is>
      </c>
      <c r="E155" s="7" t="inlineStr">
        <is>
          <t>Shoulders + Threshold Cycle 2x12min</t>
        </is>
      </c>
      <c r="F155" s="45" t="n"/>
      <c r="G155" s="45" t="n"/>
      <c r="H155" s="45" t="n"/>
      <c r="I155" s="45" t="n"/>
      <c r="J155" s="45" t="n"/>
      <c r="K155" s="45" t="n"/>
      <c r="L155" s="37" t="n"/>
    </row>
    <row r="156" ht="20" customHeight="1">
      <c r="A156" s="28" t="n">
        <v>152</v>
      </c>
      <c r="B156" s="28" t="n">
        <v>22</v>
      </c>
      <c r="C156" s="43" t="n">
        <v>46346</v>
      </c>
      <c r="D156" s="28" t="inlineStr">
        <is>
          <t>Friday</t>
        </is>
      </c>
      <c r="E156" s="7" t="inlineStr">
        <is>
          <t>Chest + Back Density + Hybrid 4 rounds: 40m carry + 12 burpees + 20 lunges</t>
        </is>
      </c>
      <c r="F156" s="45" t="n"/>
      <c r="G156" s="45" t="n"/>
      <c r="H156" s="45" t="n"/>
      <c r="I156" s="45" t="n"/>
      <c r="J156" s="45" t="n"/>
      <c r="K156" s="45" t="n"/>
      <c r="L156" s="37" t="n"/>
    </row>
    <row r="157" ht="20" customHeight="1">
      <c r="A157" s="28" t="n">
        <v>153</v>
      </c>
      <c r="B157" s="28" t="n">
        <v>22</v>
      </c>
      <c r="C157" s="43" t="n">
        <v>46347</v>
      </c>
      <c r="D157" s="28" t="inlineStr">
        <is>
          <t>Saturday</t>
        </is>
      </c>
      <c r="E157" s="7" t="inlineStr">
        <is>
          <t>Legs + Posterior Chain + Long Ride 2h45 Zone 2</t>
        </is>
      </c>
      <c r="F157" s="45" t="n"/>
      <c r="G157" s="45" t="n"/>
      <c r="H157" s="45" t="n"/>
      <c r="I157" s="45" t="n"/>
      <c r="J157" s="45" t="n"/>
      <c r="K157" s="45" t="n"/>
      <c r="L157" s="37" t="n"/>
    </row>
    <row r="158" ht="20" customHeight="1">
      <c r="A158" s="28" t="n">
        <v>154</v>
      </c>
      <c r="B158" s="28" t="n">
        <v>22</v>
      </c>
      <c r="C158" s="43" t="n">
        <v>46348</v>
      </c>
      <c r="D158" s="28" t="inlineStr">
        <is>
          <t>Sunday</t>
        </is>
      </c>
      <c r="E158" s="7" t="inlineStr">
        <is>
          <t>Arms + Core + Long Run 1h20 easy (Zone 2)</t>
        </is>
      </c>
      <c r="F158" s="45" t="n"/>
      <c r="G158" s="45" t="n"/>
      <c r="H158" s="45" t="n"/>
      <c r="I158" s="45" t="n"/>
      <c r="J158" s="45" t="n"/>
      <c r="K158" s="45" t="n"/>
      <c r="L158" s="37" t="n"/>
    </row>
    <row r="159" ht="20" customHeight="1">
      <c r="A159" s="28" t="n">
        <v>155</v>
      </c>
      <c r="B159" s="28" t="n">
        <v>23</v>
      </c>
      <c r="C159" s="43" t="n">
        <v>46349</v>
      </c>
      <c r="D159" s="28" t="inlineStr">
        <is>
          <t>Monday</t>
        </is>
      </c>
      <c r="E159" s="7" t="inlineStr">
        <is>
          <t>Chest + Biceps + Zone 2 Cycle 1h15</t>
        </is>
      </c>
      <c r="F159" s="45" t="n"/>
      <c r="G159" s="45" t="n"/>
      <c r="H159" s="45" t="n"/>
      <c r="I159" s="45" t="n"/>
      <c r="J159" s="45" t="n"/>
      <c r="K159" s="45" t="n"/>
      <c r="L159" s="37" t="n"/>
    </row>
    <row r="160" ht="20" customHeight="1">
      <c r="A160" s="28" t="n">
        <v>156</v>
      </c>
      <c r="B160" s="28" t="n">
        <v>23</v>
      </c>
      <c r="C160" s="43" t="n">
        <v>46350</v>
      </c>
      <c r="D160" s="28" t="inlineStr">
        <is>
          <t>Tuesday</t>
        </is>
      </c>
      <c r="E160" s="7" t="inlineStr">
        <is>
          <t>Back + Triceps + VO2 Bike 6x3min</t>
        </is>
      </c>
      <c r="F160" s="45" t="n"/>
      <c r="G160" s="45" t="n"/>
      <c r="H160" s="45" t="n"/>
      <c r="I160" s="45" t="n"/>
      <c r="J160" s="45" t="n"/>
      <c r="K160" s="45" t="n"/>
      <c r="L160" s="37" t="n"/>
    </row>
    <row r="161" ht="20" customHeight="1">
      <c r="A161" s="28" t="n">
        <v>157</v>
      </c>
      <c r="B161" s="28" t="n">
        <v>23</v>
      </c>
      <c r="C161" s="43" t="n">
        <v>46351</v>
      </c>
      <c r="D161" s="28" t="inlineStr">
        <is>
          <t>Wednesday</t>
        </is>
      </c>
      <c r="E161" s="7" t="inlineStr">
        <is>
          <t>Legs Volume + Easy Run 1h00</t>
        </is>
      </c>
      <c r="F161" s="45" t="n"/>
      <c r="G161" s="45" t="n"/>
      <c r="H161" s="45" t="n"/>
      <c r="I161" s="45" t="n"/>
      <c r="J161" s="45" t="n"/>
      <c r="K161" s="45" t="n"/>
      <c r="L161" s="37" t="n"/>
    </row>
    <row r="162" ht="20" customHeight="1">
      <c r="A162" s="28" t="n">
        <v>158</v>
      </c>
      <c r="B162" s="28" t="n">
        <v>23</v>
      </c>
      <c r="C162" s="43" t="n">
        <v>46352</v>
      </c>
      <c r="D162" s="28" t="inlineStr">
        <is>
          <t>Thursday</t>
        </is>
      </c>
      <c r="E162" s="7" t="inlineStr">
        <is>
          <t>Shoulders + Threshold Cycle 3x12min</t>
        </is>
      </c>
      <c r="F162" s="45" t="n"/>
      <c r="G162" s="45" t="n"/>
      <c r="H162" s="45" t="n"/>
      <c r="I162" s="45" t="n"/>
      <c r="J162" s="45" t="n"/>
      <c r="K162" s="45" t="n"/>
      <c r="L162" s="37" t="n"/>
    </row>
    <row r="163" ht="20" customHeight="1">
      <c r="A163" s="28" t="n">
        <v>159</v>
      </c>
      <c r="B163" s="28" t="n">
        <v>23</v>
      </c>
      <c r="C163" s="43" t="n">
        <v>46353</v>
      </c>
      <c r="D163" s="28" t="inlineStr">
        <is>
          <t>Friday</t>
        </is>
      </c>
      <c r="E163" s="7" t="inlineStr">
        <is>
          <t>Chest + Back Density + Hybrid 5 rounds: 40m carry + 12 burpees + 20 lunges</t>
        </is>
      </c>
      <c r="F163" s="45" t="n"/>
      <c r="G163" s="45" t="n"/>
      <c r="H163" s="45" t="n"/>
      <c r="I163" s="45" t="n"/>
      <c r="J163" s="45" t="n"/>
      <c r="K163" s="45" t="n"/>
      <c r="L163" s="37" t="n"/>
    </row>
    <row r="164" ht="20" customHeight="1">
      <c r="A164" s="28" t="n">
        <v>160</v>
      </c>
      <c r="B164" s="28" t="n">
        <v>23</v>
      </c>
      <c r="C164" s="43" t="n">
        <v>46354</v>
      </c>
      <c r="D164" s="28" t="inlineStr">
        <is>
          <t>Saturday</t>
        </is>
      </c>
      <c r="E164" s="7" t="inlineStr">
        <is>
          <t>Legs + Posterior Chain + Long Ride 3h00 Zone 2</t>
        </is>
      </c>
      <c r="F164" s="45" t="n"/>
      <c r="G164" s="45" t="n"/>
      <c r="H164" s="45" t="n"/>
      <c r="I164" s="45" t="n"/>
      <c r="J164" s="45" t="n"/>
      <c r="K164" s="45" t="n"/>
      <c r="L164" s="37" t="n"/>
    </row>
    <row r="165" ht="20" customHeight="1">
      <c r="A165" s="28" t="n">
        <v>161</v>
      </c>
      <c r="B165" s="28" t="n">
        <v>23</v>
      </c>
      <c r="C165" s="43" t="n">
        <v>46355</v>
      </c>
      <c r="D165" s="28" t="inlineStr">
        <is>
          <t>Sunday</t>
        </is>
      </c>
      <c r="E165" s="7" t="inlineStr">
        <is>
          <t>Arms + Core + Long Run 1h28 easy (Zone 2)</t>
        </is>
      </c>
      <c r="F165" s="45" t="n"/>
      <c r="G165" s="45" t="n"/>
      <c r="H165" s="45" t="n"/>
      <c r="I165" s="45" t="n"/>
      <c r="J165" s="45" t="n"/>
      <c r="K165" s="45" t="n"/>
      <c r="L165" s="37" t="n"/>
    </row>
    <row r="166" ht="20" customHeight="1">
      <c r="A166" s="28" t="n">
        <v>162</v>
      </c>
      <c r="B166" s="28" t="n">
        <v>24</v>
      </c>
      <c r="C166" s="43" t="n">
        <v>46356</v>
      </c>
      <c r="D166" s="28" t="inlineStr">
        <is>
          <t>Monday</t>
        </is>
      </c>
      <c r="E166" s="7" t="inlineStr">
        <is>
          <t>Chest + Biceps + Zone 2 Cycle 30 min</t>
        </is>
      </c>
      <c r="F166" s="45" t="n"/>
      <c r="G166" s="45" t="n"/>
      <c r="H166" s="45" t="n"/>
      <c r="I166" s="45" t="n"/>
      <c r="J166" s="45" t="n"/>
      <c r="K166" s="45" t="n"/>
      <c r="L166" s="37" t="n"/>
    </row>
    <row r="167" ht="20" customHeight="1">
      <c r="A167" s="28" t="n">
        <v>163</v>
      </c>
      <c r="B167" s="28" t="n">
        <v>24</v>
      </c>
      <c r="C167" s="43" t="n">
        <v>46357</v>
      </c>
      <c r="D167" s="28" t="inlineStr">
        <is>
          <t>Tuesday</t>
        </is>
      </c>
      <c r="E167" s="7" t="inlineStr">
        <is>
          <t>Back + Triceps + VO2 Bike 3x3min</t>
        </is>
      </c>
      <c r="F167" s="45" t="n"/>
      <c r="G167" s="45" t="n"/>
      <c r="H167" s="45" t="n"/>
      <c r="I167" s="45" t="n"/>
      <c r="J167" s="45" t="n"/>
      <c r="K167" s="45" t="n"/>
      <c r="L167" s="37" t="n"/>
    </row>
    <row r="168" ht="20" customHeight="1">
      <c r="A168" s="28" t="n">
        <v>164</v>
      </c>
      <c r="B168" s="28" t="n">
        <v>24</v>
      </c>
      <c r="C168" s="43" t="n">
        <v>46358</v>
      </c>
      <c r="D168" s="28" t="inlineStr">
        <is>
          <t>Wednesday</t>
        </is>
      </c>
      <c r="E168" s="7" t="inlineStr">
        <is>
          <t>Legs Volume + Easy Run 25 min</t>
        </is>
      </c>
      <c r="F168" s="45" t="n"/>
      <c r="G168" s="45" t="n"/>
      <c r="H168" s="45" t="n"/>
      <c r="I168" s="45" t="n"/>
      <c r="J168" s="45" t="n"/>
      <c r="K168" s="45" t="n"/>
      <c r="L168" s="37" t="n"/>
    </row>
    <row r="169" ht="20" customHeight="1">
      <c r="A169" s="28" t="n">
        <v>165</v>
      </c>
      <c r="B169" s="28" t="n">
        <v>24</v>
      </c>
      <c r="C169" s="43" t="n">
        <v>46359</v>
      </c>
      <c r="D169" s="28" t="inlineStr">
        <is>
          <t>Thursday</t>
        </is>
      </c>
      <c r="E169" s="7" t="inlineStr">
        <is>
          <t>Shoulders + Threshold Cycle 2x8min</t>
        </is>
      </c>
      <c r="F169" s="45" t="n"/>
      <c r="G169" s="45" t="n"/>
      <c r="H169" s="45" t="n"/>
      <c r="I169" s="45" t="n"/>
      <c r="J169" s="45" t="n"/>
      <c r="K169" s="45" t="n"/>
      <c r="L169" s="37" t="n"/>
    </row>
    <row r="170" ht="20" customHeight="1">
      <c r="A170" s="28" t="n">
        <v>166</v>
      </c>
      <c r="B170" s="28" t="n">
        <v>24</v>
      </c>
      <c r="C170" s="43" t="n">
        <v>46360</v>
      </c>
      <c r="D170" s="28" t="inlineStr">
        <is>
          <t>Friday</t>
        </is>
      </c>
      <c r="E170" s="7" t="inlineStr">
        <is>
          <t>Chest + Back Density + Hybrid 3 rounds: 40m carry + 12 burpees + 20 lunges</t>
        </is>
      </c>
      <c r="F170" s="45" t="n"/>
      <c r="G170" s="45" t="n"/>
      <c r="H170" s="45" t="n"/>
      <c r="I170" s="45" t="n"/>
      <c r="J170" s="45" t="n"/>
      <c r="K170" s="45" t="n"/>
      <c r="L170" s="37" t="n"/>
    </row>
    <row r="171" ht="20" customHeight="1">
      <c r="A171" s="28" t="n">
        <v>167</v>
      </c>
      <c r="B171" s="28" t="n">
        <v>24</v>
      </c>
      <c r="C171" s="43" t="n">
        <v>46361</v>
      </c>
      <c r="D171" s="28" t="inlineStr">
        <is>
          <t>Saturday</t>
        </is>
      </c>
      <c r="E171" s="7" t="inlineStr">
        <is>
          <t>Legs + Posterior Chain + Long Ride 1h45 Zone 2</t>
        </is>
      </c>
      <c r="F171" s="45" t="n"/>
      <c r="G171" s="45" t="n"/>
      <c r="H171" s="45" t="n"/>
      <c r="I171" s="45" t="n"/>
      <c r="J171" s="45" t="n"/>
      <c r="K171" s="45" t="n"/>
      <c r="L171" s="37" t="n"/>
    </row>
    <row r="172" ht="20" customHeight="1">
      <c r="A172" s="28" t="n">
        <v>168</v>
      </c>
      <c r="B172" s="28" t="n">
        <v>24</v>
      </c>
      <c r="C172" s="43" t="n">
        <v>46362</v>
      </c>
      <c r="D172" s="28" t="inlineStr">
        <is>
          <t>Sunday</t>
        </is>
      </c>
      <c r="E172" s="7" t="inlineStr">
        <is>
          <t>Arms + Core + Long Run 35 min easy (Zone 2)</t>
        </is>
      </c>
      <c r="F172" s="45" t="n"/>
      <c r="G172" s="45" t="n"/>
      <c r="H172" s="45" t="n"/>
      <c r="I172" s="45" t="n"/>
      <c r="J172" s="45" t="n"/>
      <c r="K172" s="45" t="n"/>
      <c r="L172" s="37" t="n"/>
    </row>
    <row r="173" ht="20" customHeight="1">
      <c r="A173" s="28" t="n">
        <v>169</v>
      </c>
      <c r="B173" s="28" t="n">
        <v>25</v>
      </c>
      <c r="C173" s="43" t="n">
        <v>46363</v>
      </c>
      <c r="D173" s="28" t="inlineStr">
        <is>
          <t>Monday</t>
        </is>
      </c>
      <c r="E173" s="7" t="inlineStr">
        <is>
          <t>Chest + Biceps + Zone 2 Cycle 30 min</t>
        </is>
      </c>
      <c r="F173" s="45" t="n"/>
      <c r="G173" s="45" t="n"/>
      <c r="H173" s="45" t="n"/>
      <c r="I173" s="45" t="n"/>
      <c r="J173" s="45" t="n"/>
      <c r="K173" s="45" t="n"/>
      <c r="L173" s="37" t="n"/>
    </row>
    <row r="174" ht="20" customHeight="1">
      <c r="A174" s="28" t="n">
        <v>170</v>
      </c>
      <c r="B174" s="28" t="n">
        <v>25</v>
      </c>
      <c r="C174" s="43" t="n">
        <v>46364</v>
      </c>
      <c r="D174" s="28" t="inlineStr">
        <is>
          <t>Tuesday</t>
        </is>
      </c>
      <c r="E174" s="7" t="inlineStr">
        <is>
          <t>Back + Triceps + VO2 Bike 3x2min</t>
        </is>
      </c>
      <c r="F174" s="45" t="n"/>
      <c r="G174" s="45" t="n"/>
      <c r="H174" s="45" t="n"/>
      <c r="I174" s="45" t="n"/>
      <c r="J174" s="45" t="n"/>
      <c r="K174" s="45" t="n"/>
      <c r="L174" s="37" t="n"/>
    </row>
    <row r="175" ht="20" customHeight="1">
      <c r="A175" s="28" t="n">
        <v>171</v>
      </c>
      <c r="B175" s="28" t="n">
        <v>25</v>
      </c>
      <c r="C175" s="43" t="n">
        <v>46365</v>
      </c>
      <c r="D175" s="28" t="inlineStr">
        <is>
          <t>Wednesday</t>
        </is>
      </c>
      <c r="E175" s="7" t="inlineStr">
        <is>
          <t>Legs Volume + Easy Run 25 min</t>
        </is>
      </c>
      <c r="F175" s="45" t="n"/>
      <c r="G175" s="45" t="n"/>
      <c r="H175" s="45" t="n"/>
      <c r="I175" s="45" t="n"/>
      <c r="J175" s="45" t="n"/>
      <c r="K175" s="45" t="n"/>
      <c r="L175" s="37" t="n"/>
    </row>
    <row r="176" ht="20" customHeight="1">
      <c r="A176" s="28" t="n">
        <v>172</v>
      </c>
      <c r="B176" s="28" t="n">
        <v>25</v>
      </c>
      <c r="C176" s="43" t="n">
        <v>46366</v>
      </c>
      <c r="D176" s="28" t="inlineStr">
        <is>
          <t>Thursday</t>
        </is>
      </c>
      <c r="E176" s="7" t="inlineStr">
        <is>
          <t>Shoulders + Threshold Cycle 2x6min</t>
        </is>
      </c>
      <c r="F176" s="45" t="n"/>
      <c r="G176" s="45" t="n"/>
      <c r="H176" s="45" t="n"/>
      <c r="I176" s="45" t="n"/>
      <c r="J176" s="45" t="n"/>
      <c r="K176" s="45" t="n"/>
      <c r="L176" s="37" t="n"/>
    </row>
    <row r="177" ht="20" customHeight="1">
      <c r="A177" s="28" t="n">
        <v>173</v>
      </c>
      <c r="B177" s="28" t="n">
        <v>25</v>
      </c>
      <c r="C177" s="43" t="n">
        <v>46367</v>
      </c>
      <c r="D177" s="28" t="inlineStr">
        <is>
          <t>Friday</t>
        </is>
      </c>
      <c r="E177" s="7" t="inlineStr">
        <is>
          <t>Chest + Back Density + Hybrid 2 rounds (sharpen): 40m carry + 8 burpees + 12 lunges</t>
        </is>
      </c>
      <c r="F177" s="45" t="n"/>
      <c r="G177" s="45" t="n"/>
      <c r="H177" s="45" t="n"/>
      <c r="I177" s="45" t="n"/>
      <c r="J177" s="45" t="n"/>
      <c r="K177" s="45" t="n"/>
      <c r="L177" s="37" t="n"/>
    </row>
    <row r="178" ht="20" customHeight="1">
      <c r="A178" s="28" t="n">
        <v>174</v>
      </c>
      <c r="B178" s="28" t="n">
        <v>25</v>
      </c>
      <c r="C178" s="43" t="n">
        <v>46368</v>
      </c>
      <c r="D178" s="28" t="inlineStr">
        <is>
          <t>Saturday</t>
        </is>
      </c>
      <c r="E178" s="7" t="inlineStr">
        <is>
          <t>Legs + Posterior Chain + Long Ride 60 min Zone 2</t>
        </is>
      </c>
      <c r="F178" s="45" t="n"/>
      <c r="G178" s="45" t="n"/>
      <c r="H178" s="45" t="n"/>
      <c r="I178" s="45" t="n"/>
      <c r="J178" s="45" t="n"/>
      <c r="K178" s="45" t="n"/>
      <c r="L178" s="37" t="n"/>
    </row>
    <row r="179" ht="20" customHeight="1">
      <c r="A179" s="28" t="n">
        <v>175</v>
      </c>
      <c r="B179" s="28" t="n">
        <v>25</v>
      </c>
      <c r="C179" s="43" t="n">
        <v>46369</v>
      </c>
      <c r="D179" s="28" t="inlineStr">
        <is>
          <t>Sunday</t>
        </is>
      </c>
      <c r="E179" s="7" t="inlineStr">
        <is>
          <t>Arms + Core + Long Run 30 min easy (Zone 2)</t>
        </is>
      </c>
      <c r="F179" s="45" t="n"/>
      <c r="G179" s="45" t="n"/>
      <c r="H179" s="45" t="n"/>
      <c r="I179" s="45" t="n"/>
      <c r="J179" s="45" t="n"/>
      <c r="K179" s="45" t="n"/>
      <c r="L179" s="37" t="n"/>
    </row>
    <row r="180" ht="20" customHeight="1">
      <c r="A180" s="28" t="n">
        <v>176</v>
      </c>
      <c r="B180" s="28" t="n">
        <v>26</v>
      </c>
      <c r="C180" s="43" t="n">
        <v>46370</v>
      </c>
      <c r="D180" s="28" t="inlineStr">
        <is>
          <t>Monday</t>
        </is>
      </c>
      <c r="E180" s="7" t="inlineStr">
        <is>
          <t>Chest + Biceps + Easy spin 20 min — open the legs</t>
        </is>
      </c>
      <c r="F180" s="45" t="n"/>
      <c r="G180" s="45" t="n"/>
      <c r="H180" s="45" t="n"/>
      <c r="I180" s="45" t="n"/>
      <c r="J180" s="45" t="n"/>
      <c r="K180" s="45" t="n"/>
      <c r="L180" s="37" t="n"/>
    </row>
    <row r="181" ht="20" customHeight="1">
      <c r="A181" s="28" t="n">
        <v>177</v>
      </c>
      <c r="B181" s="28" t="n">
        <v>26</v>
      </c>
      <c r="C181" s="43" t="n">
        <v>46371</v>
      </c>
      <c r="D181" s="28" t="inlineStr">
        <is>
          <t>Tuesday</t>
        </is>
      </c>
      <c r="E181" s="7" t="inlineStr">
        <is>
          <t>Back + Triceps + Optional 15 min easy spin</t>
        </is>
      </c>
      <c r="F181" s="45" t="n"/>
      <c r="G181" s="45" t="n"/>
      <c r="H181" s="45" t="n"/>
      <c r="I181" s="45" t="n"/>
      <c r="J181" s="45" t="n"/>
      <c r="K181" s="45" t="n"/>
      <c r="L181" s="37" t="n"/>
    </row>
    <row r="182" ht="20" customHeight="1">
      <c r="A182" s="28" t="n">
        <v>178</v>
      </c>
      <c r="B182" s="28" t="n">
        <v>26</v>
      </c>
      <c r="C182" s="43" t="n">
        <v>46372</v>
      </c>
      <c r="D182" s="28" t="inlineStr">
        <is>
          <t>Wednesday</t>
        </is>
      </c>
      <c r="E182" s="7" t="inlineStr">
        <is>
          <t>Legs Volume + Easy 20 min shakeout jog</t>
        </is>
      </c>
      <c r="F182" s="45" t="n"/>
      <c r="G182" s="45" t="n"/>
      <c r="H182" s="45" t="n"/>
      <c r="I182" s="45" t="n"/>
      <c r="J182" s="45" t="n"/>
      <c r="K182" s="45" t="n"/>
      <c r="L182" s="37" t="n"/>
    </row>
    <row r="183" ht="20" customHeight="1">
      <c r="A183" s="28" t="n">
        <v>179</v>
      </c>
      <c r="B183" s="28" t="n">
        <v>26</v>
      </c>
      <c r="C183" s="43" t="n">
        <v>46373</v>
      </c>
      <c r="D183" s="28" t="inlineStr">
        <is>
          <t>Thursday</t>
        </is>
      </c>
      <c r="E183" s="7" t="inlineStr">
        <is>
          <t>Shoulders + Easy spin 20 min + 3x1min openers</t>
        </is>
      </c>
      <c r="F183" s="45" t="n"/>
      <c r="G183" s="45" t="n"/>
      <c r="H183" s="45" t="n"/>
      <c r="I183" s="45" t="n"/>
      <c r="J183" s="45" t="n"/>
      <c r="K183" s="45" t="n"/>
      <c r="L183" s="37" t="n"/>
    </row>
    <row r="184" ht="20" customHeight="1">
      <c r="A184" s="28" t="n">
        <v>180</v>
      </c>
      <c r="B184" s="28" t="n">
        <v>26</v>
      </c>
      <c r="C184" s="43" t="n">
        <v>46374</v>
      </c>
      <c r="D184" s="28" t="inlineStr">
        <is>
          <t>Friday</t>
        </is>
      </c>
      <c r="E184" s="7" t="inlineStr">
        <is>
          <t>Chest + Back Density + Rest / 20 min mobility walk</t>
        </is>
      </c>
      <c r="F184" s="45" t="n"/>
      <c r="G184" s="45" t="n"/>
      <c r="H184" s="45" t="n"/>
      <c r="I184" s="45" t="n"/>
      <c r="J184" s="45" t="n"/>
      <c r="K184" s="45" t="n"/>
      <c r="L184" s="37" t="n"/>
    </row>
    <row r="185" ht="20" customHeight="1">
      <c r="A185" s="28" t="n">
        <v>181</v>
      </c>
      <c r="B185" s="28" t="n">
        <v>26</v>
      </c>
      <c r="C185" s="43" t="n">
        <v>46375</v>
      </c>
      <c r="D185" s="28" t="inlineStr">
        <is>
          <t>Saturday</t>
        </is>
      </c>
      <c r="E185" s="7" t="inlineStr">
        <is>
          <t>Legs + Posterior Chain + FTP TEST: warm up, then 20-min max effort -&gt; new FTP = 95% of avg power. Target 275W+</t>
        </is>
      </c>
      <c r="F185" s="45" t="n"/>
      <c r="G185" s="45" t="n"/>
      <c r="H185" s="45" t="n"/>
      <c r="I185" s="45" t="n"/>
      <c r="J185" s="45" t="n"/>
      <c r="K185" s="45" t="n"/>
      <c r="L185" s="37" t="n"/>
    </row>
    <row r="186" ht="20" customHeight="1">
      <c r="A186" s="28" t="n">
        <v>182</v>
      </c>
      <c r="B186" s="28" t="n">
        <v>26</v>
      </c>
      <c r="C186" s="43" t="n">
        <v>46376</v>
      </c>
      <c r="D186" s="28" t="inlineStr">
        <is>
          <t>Sunday</t>
        </is>
      </c>
      <c r="E186" s="7" t="inlineStr">
        <is>
          <t>Arms + Core + 5KM TIME-TRIAL: even pace, target 25:00-27:00. The headline test.</t>
        </is>
      </c>
      <c r="F186" s="45" t="n"/>
      <c r="G186" s="45" t="n"/>
      <c r="H186" s="45" t="n"/>
      <c r="I186" s="45" t="n"/>
      <c r="J186" s="45" t="n"/>
      <c r="K186" s="45" t="n"/>
      <c r="L186" s="37" t="n"/>
    </row>
  </sheetData>
  <mergeCells count="2">
    <mergeCell ref="A2:L2"/>
    <mergeCell ref="A1:L1"/>
  </mergeCells>
  <conditionalFormatting sqref="F5:F186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7">
      <formula>"Partial"</formula>
    </cfRule>
    <cfRule type="cellIs" priority="4" operator="equal" dxfId="5">
      <formula>"Travel Alt"</formula>
    </cfRule>
  </conditionalFormatting>
  <conditionalFormatting sqref="G5:G186">
    <cfRule type="colorScale" priority="5">
      <colorScale>
        <cfvo type="num" val="1"/>
        <cfvo type="num" val="6"/>
        <cfvo type="num" val="10"/>
        <color rgb="00C6EFCE"/>
        <color rgb="00FFEB9C"/>
        <color rgb="00F8696B"/>
      </colorScale>
    </cfRule>
  </conditionalFormatting>
  <dataValidations count="3">
    <dataValidation sqref="F5:F186" showDropDown="0" showInputMessage="0" showErrorMessage="0" allowBlank="1" type="list">
      <formula1>"Yes,No,Partial,Travel Alt"</formula1>
    </dataValidation>
    <dataValidation sqref="G5:G186" showDropDown="0" showInputMessage="0" showErrorMessage="0" allowBlank="1" type="whole" operator="between">
      <formula1>1</formula1>
      <formula2>10</formula2>
    </dataValidation>
    <dataValidation sqref="K5:K186" showDropDown="0" showInputMessage="0" showErrorMessage="0" allowBlank="1" type="list">
      <formula1>"Great,Good,OK,Tired,Drained"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E4E"/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4" customHeight="1">
      <c r="A1" s="1" t="inlineStr">
        <is>
          <t>WEEKLY COACH REVIEW</t>
        </is>
      </c>
    </row>
    <row r="2" ht="20" customHeight="1">
      <c r="A2" s="2" t="inlineStr">
        <is>
          <t>Fill every Sunday. Track KPIs, compliance &amp; set next-week adjustments. Repeat for 26 weeks.</t>
        </is>
      </c>
    </row>
    <row r="4" ht="26" customHeight="1">
      <c r="A4" s="5" t="inlineStr">
        <is>
          <t>Wk</t>
        </is>
      </c>
      <c r="B4" s="5" t="inlineStr">
        <is>
          <t>Phase</t>
        </is>
      </c>
      <c r="C4" s="5" t="inlineStr">
        <is>
          <t>Weight kg</t>
        </is>
      </c>
      <c r="D4" s="5" t="inlineStr">
        <is>
          <t>FTP W</t>
        </is>
      </c>
      <c r="E4" s="5" t="inlineStr">
        <is>
          <t>Compliance %</t>
        </is>
      </c>
      <c r="F4" s="5" t="inlineStr">
        <is>
          <t>Avg RPE</t>
        </is>
      </c>
      <c r="G4" s="5" t="inlineStr">
        <is>
          <t>Notes / Adjustments</t>
        </is>
      </c>
    </row>
    <row r="5" ht="30" customHeight="1">
      <c r="A5" s="28" t="n">
        <v>1</v>
      </c>
      <c r="B5" s="36" t="inlineStr">
        <is>
          <t>Accumulation</t>
        </is>
      </c>
      <c r="C5" s="45" t="n"/>
      <c r="D5" s="45" t="n"/>
      <c r="E5" s="61">
        <f>IFERROR((COUNTIF('Daily Log'!F5:F11,"Yes")+COUNTIF('Daily Log'!F5:F11,"Travel Alt"))/COUNTA('Daily Log'!F5:F11),"")</f>
        <v/>
      </c>
      <c r="F5" s="24">
        <f>IFERROR(AVERAGE('Daily Log'!G5:G11),"")</f>
        <v/>
      </c>
      <c r="G5" s="46" t="n"/>
    </row>
    <row r="6" ht="30" customHeight="1">
      <c r="A6" s="28" t="n">
        <v>2</v>
      </c>
      <c r="B6" s="38" t="inlineStr">
        <is>
          <t>Progression</t>
        </is>
      </c>
      <c r="C6" s="45" t="n"/>
      <c r="D6" s="45" t="n"/>
      <c r="E6" s="61">
        <f>IFERROR((COUNTIF('Daily Log'!F12:F18,"Yes")+COUNTIF('Daily Log'!F12:F18,"Travel Alt"))/COUNTA('Daily Log'!F12:F18),"")</f>
        <v/>
      </c>
      <c r="F6" s="24">
        <f>IFERROR(AVERAGE('Daily Log'!G12:G18),"")</f>
        <v/>
      </c>
      <c r="G6" s="46" t="n"/>
    </row>
    <row r="7" ht="30" customHeight="1">
      <c r="A7" s="28" t="n">
        <v>3</v>
      </c>
      <c r="B7" s="39" t="inlineStr">
        <is>
          <t>Peak Volume</t>
        </is>
      </c>
      <c r="C7" s="45" t="n"/>
      <c r="D7" s="45" t="n"/>
      <c r="E7" s="61">
        <f>IFERROR((COUNTIF('Daily Log'!F19:F25,"Yes")+COUNTIF('Daily Log'!F19:F25,"Travel Alt"))/COUNTA('Daily Log'!F19:F25),"")</f>
        <v/>
      </c>
      <c r="F7" s="24">
        <f>IFERROR(AVERAGE('Daily Log'!G19:G25),"")</f>
        <v/>
      </c>
      <c r="G7" s="46" t="n"/>
    </row>
    <row r="8" ht="30" customHeight="1">
      <c r="A8" s="28" t="n">
        <v>4</v>
      </c>
      <c r="B8" s="40" t="inlineStr">
        <is>
          <t>Deload</t>
        </is>
      </c>
      <c r="C8" s="45" t="n"/>
      <c r="D8" s="45" t="n"/>
      <c r="E8" s="61">
        <f>IFERROR((COUNTIF('Daily Log'!F26:F32,"Yes")+COUNTIF('Daily Log'!F26:F32,"Travel Alt"))/COUNTA('Daily Log'!F26:F32),"")</f>
        <v/>
      </c>
      <c r="F8" s="24">
        <f>IFERROR(AVERAGE('Daily Log'!G26:G32),"")</f>
        <v/>
      </c>
      <c r="G8" s="46" t="n"/>
    </row>
    <row r="9" ht="30" customHeight="1">
      <c r="A9" s="28" t="n">
        <v>5</v>
      </c>
      <c r="B9" s="36" t="inlineStr">
        <is>
          <t>Accumulation</t>
        </is>
      </c>
      <c r="C9" s="45" t="n"/>
      <c r="D9" s="45" t="n"/>
      <c r="E9" s="61">
        <f>IFERROR((COUNTIF('Daily Log'!F33:F39,"Yes")+COUNTIF('Daily Log'!F33:F39,"Travel Alt"))/COUNTA('Daily Log'!F33:F39),"")</f>
        <v/>
      </c>
      <c r="F9" s="24">
        <f>IFERROR(AVERAGE('Daily Log'!G33:G39),"")</f>
        <v/>
      </c>
      <c r="G9" s="46" t="n"/>
    </row>
    <row r="10" ht="30" customHeight="1">
      <c r="A10" s="28" t="n">
        <v>6</v>
      </c>
      <c r="B10" s="38" t="inlineStr">
        <is>
          <t>Progression</t>
        </is>
      </c>
      <c r="C10" s="45" t="n"/>
      <c r="D10" s="45" t="n"/>
      <c r="E10" s="61">
        <f>IFERROR((COUNTIF('Daily Log'!F40:F46,"Yes")+COUNTIF('Daily Log'!F40:F46,"Travel Alt"))/COUNTA('Daily Log'!F40:F46),"")</f>
        <v/>
      </c>
      <c r="F10" s="24">
        <f>IFERROR(AVERAGE('Daily Log'!G40:G46),"")</f>
        <v/>
      </c>
      <c r="G10" s="46" t="n"/>
    </row>
    <row r="11" ht="30" customHeight="1">
      <c r="A11" s="28" t="n">
        <v>7</v>
      </c>
      <c r="B11" s="39" t="inlineStr">
        <is>
          <t>Peak Volume</t>
        </is>
      </c>
      <c r="C11" s="45" t="n"/>
      <c r="D11" s="45" t="n"/>
      <c r="E11" s="61">
        <f>IFERROR((COUNTIF('Daily Log'!F47:F53,"Yes")+COUNTIF('Daily Log'!F47:F53,"Travel Alt"))/COUNTA('Daily Log'!F47:F53),"")</f>
        <v/>
      </c>
      <c r="F11" s="24">
        <f>IFERROR(AVERAGE('Daily Log'!G47:G53),"")</f>
        <v/>
      </c>
      <c r="G11" s="46" t="n"/>
    </row>
    <row r="12" ht="30" customHeight="1">
      <c r="A12" s="28" t="n">
        <v>8</v>
      </c>
      <c r="B12" s="40" t="inlineStr">
        <is>
          <t>Deload</t>
        </is>
      </c>
      <c r="C12" s="45" t="n"/>
      <c r="D12" s="45" t="n"/>
      <c r="E12" s="61">
        <f>IFERROR((COUNTIF('Daily Log'!F54:F60,"Yes")+COUNTIF('Daily Log'!F54:F60,"Travel Alt"))/COUNTA('Daily Log'!F54:F60),"")</f>
        <v/>
      </c>
      <c r="F12" s="24">
        <f>IFERROR(AVERAGE('Daily Log'!G54:G60),"")</f>
        <v/>
      </c>
      <c r="G12" s="46" t="n"/>
    </row>
    <row r="13" ht="30" customHeight="1">
      <c r="A13" s="28" t="n">
        <v>9</v>
      </c>
      <c r="B13" s="36" t="inlineStr">
        <is>
          <t>Accumulation</t>
        </is>
      </c>
      <c r="C13" s="45" t="n"/>
      <c r="D13" s="45" t="n"/>
      <c r="E13" s="61">
        <f>IFERROR((COUNTIF('Daily Log'!F61:F67,"Yes")+COUNTIF('Daily Log'!F61:F67,"Travel Alt"))/COUNTA('Daily Log'!F61:F67),"")</f>
        <v/>
      </c>
      <c r="F13" s="24">
        <f>IFERROR(AVERAGE('Daily Log'!G61:G67),"")</f>
        <v/>
      </c>
      <c r="G13" s="46" t="n"/>
    </row>
    <row r="14" ht="30" customHeight="1">
      <c r="A14" s="28" t="n">
        <v>10</v>
      </c>
      <c r="B14" s="38" t="inlineStr">
        <is>
          <t>Progression</t>
        </is>
      </c>
      <c r="C14" s="45" t="n"/>
      <c r="D14" s="45" t="n"/>
      <c r="E14" s="61">
        <f>IFERROR((COUNTIF('Daily Log'!F68:F74,"Yes")+COUNTIF('Daily Log'!F68:F74,"Travel Alt"))/COUNTA('Daily Log'!F68:F74),"")</f>
        <v/>
      </c>
      <c r="F14" s="24">
        <f>IFERROR(AVERAGE('Daily Log'!G68:G74),"")</f>
        <v/>
      </c>
      <c r="G14" s="46" t="n"/>
    </row>
    <row r="15" ht="30" customHeight="1">
      <c r="A15" s="28" t="n">
        <v>11</v>
      </c>
      <c r="B15" s="39" t="inlineStr">
        <is>
          <t>Peak Volume</t>
        </is>
      </c>
      <c r="C15" s="45" t="n"/>
      <c r="D15" s="45" t="n"/>
      <c r="E15" s="61">
        <f>IFERROR((COUNTIF('Daily Log'!F75:F81,"Yes")+COUNTIF('Daily Log'!F75:F81,"Travel Alt"))/COUNTA('Daily Log'!F75:F81),"")</f>
        <v/>
      </c>
      <c r="F15" s="24">
        <f>IFERROR(AVERAGE('Daily Log'!G75:G81),"")</f>
        <v/>
      </c>
      <c r="G15" s="46" t="n"/>
    </row>
    <row r="16" ht="30" customHeight="1">
      <c r="A16" s="28" t="n">
        <v>12</v>
      </c>
      <c r="B16" s="40" t="inlineStr">
        <is>
          <t>Deload</t>
        </is>
      </c>
      <c r="C16" s="45" t="n"/>
      <c r="D16" s="45" t="n"/>
      <c r="E16" s="61">
        <f>IFERROR((COUNTIF('Daily Log'!F82:F88,"Yes")+COUNTIF('Daily Log'!F82:F88,"Travel Alt"))/COUNTA('Daily Log'!F82:F88),"")</f>
        <v/>
      </c>
      <c r="F16" s="24">
        <f>IFERROR(AVERAGE('Daily Log'!G82:G88),"")</f>
        <v/>
      </c>
      <c r="G16" s="46" t="n"/>
    </row>
    <row r="17" ht="30" customHeight="1">
      <c r="A17" s="28" t="n">
        <v>13</v>
      </c>
      <c r="B17" s="36" t="inlineStr">
        <is>
          <t>Accumulation</t>
        </is>
      </c>
      <c r="C17" s="45" t="n"/>
      <c r="D17" s="45" t="n"/>
      <c r="E17" s="61">
        <f>IFERROR((COUNTIF('Daily Log'!F89:F95,"Yes")+COUNTIF('Daily Log'!F89:F95,"Travel Alt"))/COUNTA('Daily Log'!F89:F95),"")</f>
        <v/>
      </c>
      <c r="F17" s="24">
        <f>IFERROR(AVERAGE('Daily Log'!G89:G95),"")</f>
        <v/>
      </c>
      <c r="G17" s="46" t="n"/>
    </row>
    <row r="18" ht="30" customHeight="1">
      <c r="A18" s="28" t="n">
        <v>14</v>
      </c>
      <c r="B18" s="38" t="inlineStr">
        <is>
          <t>Progression</t>
        </is>
      </c>
      <c r="C18" s="45" t="n"/>
      <c r="D18" s="45" t="n"/>
      <c r="E18" s="61">
        <f>IFERROR((COUNTIF('Daily Log'!F96:F102,"Yes")+COUNTIF('Daily Log'!F96:F102,"Travel Alt"))/COUNTA('Daily Log'!F96:F102),"")</f>
        <v/>
      </c>
      <c r="F18" s="24">
        <f>IFERROR(AVERAGE('Daily Log'!G96:G102),"")</f>
        <v/>
      </c>
      <c r="G18" s="46" t="n"/>
    </row>
    <row r="19" ht="30" customHeight="1">
      <c r="A19" s="28" t="n">
        <v>15</v>
      </c>
      <c r="B19" s="39" t="inlineStr">
        <is>
          <t>Peak Volume</t>
        </is>
      </c>
      <c r="C19" s="45" t="n"/>
      <c r="D19" s="45" t="n"/>
      <c r="E19" s="61">
        <f>IFERROR((COUNTIF('Daily Log'!F103:F109,"Yes")+COUNTIF('Daily Log'!F103:F109,"Travel Alt"))/COUNTA('Daily Log'!F103:F109),"")</f>
        <v/>
      </c>
      <c r="F19" s="24">
        <f>IFERROR(AVERAGE('Daily Log'!G103:G109),"")</f>
        <v/>
      </c>
      <c r="G19" s="46" t="n"/>
    </row>
    <row r="20" ht="30" customHeight="1">
      <c r="A20" s="28" t="n">
        <v>16</v>
      </c>
      <c r="B20" s="40" t="inlineStr">
        <is>
          <t>Deload</t>
        </is>
      </c>
      <c r="C20" s="45" t="n"/>
      <c r="D20" s="45" t="n"/>
      <c r="E20" s="61">
        <f>IFERROR((COUNTIF('Daily Log'!F110:F116,"Yes")+COUNTIF('Daily Log'!F110:F116,"Travel Alt"))/COUNTA('Daily Log'!F110:F116),"")</f>
        <v/>
      </c>
      <c r="F20" s="24">
        <f>IFERROR(AVERAGE('Daily Log'!G110:G116),"")</f>
        <v/>
      </c>
      <c r="G20" s="46" t="n"/>
    </row>
    <row r="21" ht="30" customHeight="1">
      <c r="A21" s="28" t="n">
        <v>17</v>
      </c>
      <c r="B21" s="36" t="inlineStr">
        <is>
          <t>Accumulation</t>
        </is>
      </c>
      <c r="C21" s="45" t="n"/>
      <c r="D21" s="45" t="n"/>
      <c r="E21" s="61">
        <f>IFERROR((COUNTIF('Daily Log'!F117:F123,"Yes")+COUNTIF('Daily Log'!F117:F123,"Travel Alt"))/COUNTA('Daily Log'!F117:F123),"")</f>
        <v/>
      </c>
      <c r="F21" s="24">
        <f>IFERROR(AVERAGE('Daily Log'!G117:G123),"")</f>
        <v/>
      </c>
      <c r="G21" s="46" t="n"/>
    </row>
    <row r="22" ht="30" customHeight="1">
      <c r="A22" s="28" t="n">
        <v>18</v>
      </c>
      <c r="B22" s="38" t="inlineStr">
        <is>
          <t>Progression</t>
        </is>
      </c>
      <c r="C22" s="45" t="n"/>
      <c r="D22" s="45" t="n"/>
      <c r="E22" s="61">
        <f>IFERROR((COUNTIF('Daily Log'!F124:F130,"Yes")+COUNTIF('Daily Log'!F124:F130,"Travel Alt"))/COUNTA('Daily Log'!F124:F130),"")</f>
        <v/>
      </c>
      <c r="F22" s="24">
        <f>IFERROR(AVERAGE('Daily Log'!G124:G130),"")</f>
        <v/>
      </c>
      <c r="G22" s="46" t="n"/>
    </row>
    <row r="23" ht="30" customHeight="1">
      <c r="A23" s="28" t="n">
        <v>19</v>
      </c>
      <c r="B23" s="39" t="inlineStr">
        <is>
          <t>Peak Volume</t>
        </is>
      </c>
      <c r="C23" s="45" t="n"/>
      <c r="D23" s="45" t="n"/>
      <c r="E23" s="61">
        <f>IFERROR((COUNTIF('Daily Log'!F131:F137,"Yes")+COUNTIF('Daily Log'!F131:F137,"Travel Alt"))/COUNTA('Daily Log'!F131:F137),"")</f>
        <v/>
      </c>
      <c r="F23" s="24">
        <f>IFERROR(AVERAGE('Daily Log'!G131:G137),"")</f>
        <v/>
      </c>
      <c r="G23" s="46" t="n"/>
    </row>
    <row r="24" ht="30" customHeight="1">
      <c r="A24" s="28" t="n">
        <v>20</v>
      </c>
      <c r="B24" s="40" t="inlineStr">
        <is>
          <t>Deload</t>
        </is>
      </c>
      <c r="C24" s="45" t="n"/>
      <c r="D24" s="45" t="n"/>
      <c r="E24" s="61">
        <f>IFERROR((COUNTIF('Daily Log'!F138:F144,"Yes")+COUNTIF('Daily Log'!F138:F144,"Travel Alt"))/COUNTA('Daily Log'!F138:F144),"")</f>
        <v/>
      </c>
      <c r="F24" s="24">
        <f>IFERROR(AVERAGE('Daily Log'!G138:G144),"")</f>
        <v/>
      </c>
      <c r="G24" s="46" t="n"/>
    </row>
    <row r="25" ht="30" customHeight="1">
      <c r="A25" s="28" t="n">
        <v>21</v>
      </c>
      <c r="B25" s="36" t="inlineStr">
        <is>
          <t>Accumulation</t>
        </is>
      </c>
      <c r="C25" s="45" t="n"/>
      <c r="D25" s="45" t="n"/>
      <c r="E25" s="61">
        <f>IFERROR((COUNTIF('Daily Log'!F145:F151,"Yes")+COUNTIF('Daily Log'!F145:F151,"Travel Alt"))/COUNTA('Daily Log'!F145:F151),"")</f>
        <v/>
      </c>
      <c r="F25" s="24">
        <f>IFERROR(AVERAGE('Daily Log'!G145:G151),"")</f>
        <v/>
      </c>
      <c r="G25" s="46" t="n"/>
    </row>
    <row r="26" ht="30" customHeight="1">
      <c r="A26" s="28" t="n">
        <v>22</v>
      </c>
      <c r="B26" s="38" t="inlineStr">
        <is>
          <t>Progression</t>
        </is>
      </c>
      <c r="C26" s="45" t="n"/>
      <c r="D26" s="45" t="n"/>
      <c r="E26" s="61">
        <f>IFERROR((COUNTIF('Daily Log'!F152:F158,"Yes")+COUNTIF('Daily Log'!F152:F158,"Travel Alt"))/COUNTA('Daily Log'!F152:F158),"")</f>
        <v/>
      </c>
      <c r="F26" s="24">
        <f>IFERROR(AVERAGE('Daily Log'!G152:G158),"")</f>
        <v/>
      </c>
      <c r="G26" s="46" t="n"/>
    </row>
    <row r="27" ht="30" customHeight="1">
      <c r="A27" s="28" t="n">
        <v>23</v>
      </c>
      <c r="B27" s="39" t="inlineStr">
        <is>
          <t>Peak Volume</t>
        </is>
      </c>
      <c r="C27" s="45" t="n"/>
      <c r="D27" s="45" t="n"/>
      <c r="E27" s="61">
        <f>IFERROR((COUNTIF('Daily Log'!F159:F165,"Yes")+COUNTIF('Daily Log'!F159:F165,"Travel Alt"))/COUNTA('Daily Log'!F159:F165),"")</f>
        <v/>
      </c>
      <c r="F27" s="24">
        <f>IFERROR(AVERAGE('Daily Log'!G159:G165),"")</f>
        <v/>
      </c>
      <c r="G27" s="46" t="n"/>
    </row>
    <row r="28" ht="30" customHeight="1">
      <c r="A28" s="28" t="n">
        <v>24</v>
      </c>
      <c r="B28" s="40" t="inlineStr">
        <is>
          <t>Deload</t>
        </is>
      </c>
      <c r="C28" s="45" t="n"/>
      <c r="D28" s="45" t="n"/>
      <c r="E28" s="61">
        <f>IFERROR((COUNTIF('Daily Log'!F166:F172,"Yes")+COUNTIF('Daily Log'!F166:F172,"Travel Alt"))/COUNTA('Daily Log'!F166:F172),"")</f>
        <v/>
      </c>
      <c r="F28" s="24">
        <f>IFERROR(AVERAGE('Daily Log'!G166:G172),"")</f>
        <v/>
      </c>
      <c r="G28" s="46" t="n"/>
    </row>
    <row r="29" ht="30" customHeight="1">
      <c r="A29" s="28" t="n">
        <v>25</v>
      </c>
      <c r="B29" s="41" t="inlineStr">
        <is>
          <t>Taper</t>
        </is>
      </c>
      <c r="C29" s="45" t="n"/>
      <c r="D29" s="45" t="n"/>
      <c r="E29" s="61">
        <f>IFERROR((COUNTIF('Daily Log'!F173:F179,"Yes")+COUNTIF('Daily Log'!F173:F179,"Travel Alt"))/COUNTA('Daily Log'!F173:F179),"")</f>
        <v/>
      </c>
      <c r="F29" s="24">
        <f>IFERROR(AVERAGE('Daily Log'!G173:G179),"")</f>
        <v/>
      </c>
      <c r="G29" s="46" t="n"/>
    </row>
    <row r="30" ht="30" customHeight="1">
      <c r="A30" s="28" t="n">
        <v>26</v>
      </c>
      <c r="B30" s="42" t="inlineStr">
        <is>
          <t>Test &amp; Lock</t>
        </is>
      </c>
      <c r="C30" s="45" t="n"/>
      <c r="D30" s="45" t="n"/>
      <c r="E30" s="61">
        <f>IFERROR((COUNTIF('Daily Log'!F180:F186,"Yes")+COUNTIF('Daily Log'!F180:F186,"Travel Alt"))/COUNTA('Daily Log'!F180:F186),"")</f>
        <v/>
      </c>
      <c r="F30" s="24">
        <f>IFERROR(AVERAGE('Daily Log'!G180:G186),"")</f>
        <v/>
      </c>
      <c r="G30" s="46" t="n"/>
    </row>
    <row r="32" ht="24" customHeight="1">
      <c r="A32" s="3" t="inlineStr">
        <is>
          <t>WEEKLY REVIEW PROMPTS</t>
        </is>
      </c>
    </row>
    <row r="33" ht="16" customHeight="1">
      <c r="B33" s="4" t="inlineStr">
        <is>
          <t>•  Did I hit 90%+ of planned sessions? If not, what got in the way and how do I fix it?</t>
        </is>
      </c>
    </row>
    <row r="34" ht="16" customHeight="1">
      <c r="B34" s="4" t="inlineStr">
        <is>
          <t>•  Are the core lifts progressing (set / rep / load) without RPE creeping past the cap?</t>
        </is>
      </c>
    </row>
    <row r="35" ht="16" customHeight="1">
      <c r="B35" s="4" t="inlineStr">
        <is>
          <t>•  Is the 80/20 split holding — most easy, a little hard? Or am I drifting into grey-zone training?</t>
        </is>
      </c>
    </row>
    <row r="36" ht="16" customHeight="1">
      <c r="B36" s="4" t="inlineStr">
        <is>
          <t>•  How is recovery trending (sleep, HRV, resting HR, mood)? Do I need an early deload?</t>
        </is>
      </c>
    </row>
    <row r="37" ht="16" customHeight="1">
      <c r="B37" s="4" t="inlineStr">
        <is>
          <t>•  Weight &amp; FTP vs roadmap target — ahead, on track, or behind? One adjustment for next week.</t>
        </is>
      </c>
    </row>
  </sheetData>
  <mergeCells count="8">
    <mergeCell ref="A32:G32"/>
    <mergeCell ref="B34:G34"/>
    <mergeCell ref="A1:G1"/>
    <mergeCell ref="B36:G36"/>
    <mergeCell ref="B37:G37"/>
    <mergeCell ref="B35:G35"/>
    <mergeCell ref="A2:G2"/>
    <mergeCell ref="B33:G33"/>
  </mergeCells>
  <conditionalFormatting sqref="E5:E30">
    <cfRule type="cellIs" priority="1" operator="greaterThanOrEqual" dxfId="0">
      <formula>0.9</formula>
    </cfRule>
    <cfRule type="cellIs" priority="2" operator="lessThan" dxfId="1">
      <formula>0.75</formula>
    </cfRule>
  </conditionalFormatting>
  <conditionalFormatting sqref="F5:F30">
    <cfRule type="colorScale" priority="3">
      <colorScale>
        <cfvo type="num" val="4"/>
        <cfvo type="num" val="7"/>
        <cfvo type="num" val="10"/>
        <color rgb="00C6EFCE"/>
        <color rgb="00FFEB9C"/>
        <color rgb="00F8696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D6D7E"/>
    <outlinePr summaryBelow="1" summaryRight="1"/>
    <pageSetUpPr/>
  </sheetPr>
  <dimension ref="A1:B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4" customHeight="1">
      <c r="A1" s="1" t="inlineStr">
        <is>
          <t>CLAUDE CODE PROMPT</t>
        </is>
      </c>
    </row>
    <row r="2" ht="20" customHeight="1">
      <c r="A2" s="2" t="inlineStr">
        <is>
          <t>The exact brief used to generate this workbook.</t>
        </is>
      </c>
    </row>
    <row r="4" ht="15" customHeight="1">
      <c r="B4" s="62" t="inlineStr">
        <is>
          <t>Claude Code Prompt — Project 85 CEO Athlete System</t>
        </is>
      </c>
    </row>
    <row r="5" ht="15" customHeight="1">
      <c r="B5" s="63" t="inlineStr"/>
    </row>
    <row r="6" ht="15" customHeight="1">
      <c r="B6" s="63" t="inlineStr">
        <is>
          <t>You are Claude Code. Build a production-quality Excel workbook named `Project85_CEO_Athlete_System.xlsx`.</t>
        </is>
      </c>
    </row>
    <row r="7" ht="15" customHeight="1">
      <c r="B7" s="63" t="inlineStr"/>
    </row>
    <row r="8" ht="15" customHeight="1">
      <c r="B8" s="63" t="inlineStr">
        <is>
          <t>Create a 24-week hybrid athlete coaching workbook starting Monday 2026-06-22 for Barrie Davies (Bdog).</t>
        </is>
      </c>
    </row>
    <row r="9" ht="15" customHeight="1">
      <c r="B9" s="63" t="inlineStr"/>
    </row>
    <row r="10" ht="15" customHeight="1">
      <c r="B10" s="64" t="inlineStr">
        <is>
          <t>## Baseline and Targets</t>
        </is>
      </c>
    </row>
    <row r="11" ht="15" customHeight="1">
      <c r="B11" s="63" t="inlineStr">
        <is>
          <t>- Weight: 100kg -&gt; 85kg</t>
        </is>
      </c>
    </row>
    <row r="12" ht="15" customHeight="1">
      <c r="B12" s="63" t="inlineStr">
        <is>
          <t>- FTP: 215W -&gt; 275W</t>
        </is>
      </c>
    </row>
    <row r="13" ht="15" customHeight="1">
      <c r="B13" s="63" t="inlineStr">
        <is>
          <t>- VO2 Max: 41 -&gt; 50+</t>
        </is>
      </c>
    </row>
    <row r="14" ht="15" customHeight="1">
      <c r="B14" s="63" t="inlineStr">
        <is>
          <t>- 5km: 32:00 -&gt; 25:00-27:00</t>
        </is>
      </c>
    </row>
    <row r="15" ht="15" customHeight="1">
      <c r="B15" s="63" t="inlineStr">
        <is>
          <t>- Bench: 105kg, maintain 105kg+</t>
        </is>
      </c>
    </row>
    <row r="16" ht="15" customHeight="1">
      <c r="B16" s="63" t="inlineStr">
        <is>
          <t>- Squat: 140kg, maintain 140kg+</t>
        </is>
      </c>
    </row>
    <row r="17" ht="15" customHeight="1">
      <c r="B17" s="63" t="inlineStr"/>
    </row>
    <row r="18" ht="15" customHeight="1">
      <c r="B18" s="64" t="inlineStr">
        <is>
          <t>## Training Philosophy</t>
        </is>
      </c>
    </row>
    <row r="19" ht="15" customHeight="1">
      <c r="B19" s="63" t="inlineStr">
        <is>
          <t>- Progressive overload for strength and hypertrophy.</t>
        </is>
      </c>
    </row>
    <row r="20" ht="15" customHeight="1">
      <c r="B20" s="63" t="inlineStr">
        <is>
          <t>- 80/20 endurance model for running and cycling.</t>
        </is>
      </c>
    </row>
    <row r="21" ht="15" customHeight="1">
      <c r="B21" s="63" t="inlineStr">
        <is>
          <t>- Daily varying intensity to balance recovery and progress.</t>
        </is>
      </c>
    </row>
    <row r="22" ht="15" customHeight="1">
      <c r="B22" s="63" t="inlineStr">
        <is>
          <t>- High-volume strength sessions to add muscle and tendon density.</t>
        </is>
      </c>
    </row>
    <row r="23" ht="15" customHeight="1">
      <c r="B23" s="63" t="inlineStr">
        <is>
          <t>- Travel-proof alternatives for full gym, hotel gym, and no gym.</t>
        </is>
      </c>
    </row>
    <row r="24" ht="15" customHeight="1">
      <c r="B24" s="63" t="inlineStr">
        <is>
          <t>- Daily mobility and mindfulness.</t>
        </is>
      </c>
    </row>
    <row r="25" ht="15" customHeight="1">
      <c r="B25" s="63" t="inlineStr"/>
    </row>
    <row r="26" ht="15" customHeight="1">
      <c r="B26" s="64" t="inlineStr">
        <is>
          <t>## Weekly Structure</t>
        </is>
      </c>
    </row>
    <row r="27" ht="15" customHeight="1">
      <c r="B27" s="63" t="inlineStr">
        <is>
          <t>- Monday: Chest + Biceps + Zone 2 Cycle.</t>
        </is>
      </c>
    </row>
    <row r="28" ht="15" customHeight="1">
      <c r="B28" s="63" t="inlineStr">
        <is>
          <t>- Tuesday: Back + Triceps + VO2 Bike.</t>
        </is>
      </c>
    </row>
    <row r="29" ht="15" customHeight="1">
      <c r="B29" s="63" t="inlineStr">
        <is>
          <t>- Wednesday: Legs Volume + Easy Run.</t>
        </is>
      </c>
    </row>
    <row r="30" ht="15" customHeight="1">
      <c r="B30" s="63" t="inlineStr">
        <is>
          <t>- Thursday: Shoulders + Threshold Cycle.</t>
        </is>
      </c>
    </row>
    <row r="31" ht="15" customHeight="1">
      <c r="B31" s="63" t="inlineStr">
        <is>
          <t>- Friday: Chest + Back Density + Hybrid Carries/Burpees/Lunges.</t>
        </is>
      </c>
    </row>
    <row r="32" ht="15" customHeight="1">
      <c r="B32" s="63" t="inlineStr">
        <is>
          <t>- Saturday: Legs + Posterior Chain + Long Ride.</t>
        </is>
      </c>
    </row>
    <row r="33" ht="15" customHeight="1">
      <c r="B33" s="63" t="inlineStr">
        <is>
          <t>- Sunday: Arms + Core + Long Run.</t>
        </is>
      </c>
    </row>
    <row r="34" ht="15" customHeight="1">
      <c r="B34" s="63" t="inlineStr"/>
    </row>
    <row r="35" ht="15" customHeight="1">
      <c r="B35" s="64" t="inlineStr">
        <is>
          <t>## 4-Week Wave, Repeated 6 Times</t>
        </is>
      </c>
    </row>
    <row r="36" ht="15" customHeight="1">
      <c r="B36" s="63" t="inlineStr">
        <is>
          <t>- Week 1 Accumulation: high volume, RPE 7, 2-3 reps in reserve.</t>
        </is>
      </c>
    </row>
    <row r="37" ht="15" customHeight="1">
      <c r="B37" s="63" t="inlineStr">
        <is>
          <t>- Week 2 Progression: add one set, reps, or small load where prior week completed.</t>
        </is>
      </c>
    </row>
    <row r="38" ht="15" customHeight="1">
      <c r="B38" s="63" t="inlineStr">
        <is>
          <t>- Week 3 Peak Volume: highest density, RPE cap 8.</t>
        </is>
      </c>
    </row>
    <row r="39" ht="15" customHeight="1">
      <c r="B39" s="63" t="inlineStr">
        <is>
          <t>- Week 4 Deload: reduce strength volume 40%, endurance volume 40-50%.</t>
        </is>
      </c>
    </row>
    <row r="40" ht="15" customHeight="1">
      <c r="B40" s="63" t="inlineStr"/>
    </row>
    <row r="41" ht="15" customHeight="1">
      <c r="B41" s="64" t="inlineStr">
        <is>
          <t>## Required Workbook Sheets</t>
        </is>
      </c>
    </row>
    <row r="42" ht="15" customHeight="1">
      <c r="B42" s="63" t="inlineStr">
        <is>
          <t>1. START HERE: mission, baseline, targets, how to use.</t>
        </is>
      </c>
    </row>
    <row r="43" ht="15" customHeight="1">
      <c r="B43" s="63" t="inlineStr">
        <is>
          <t>2. Inputs: editable baseline variables and targets.</t>
        </is>
      </c>
    </row>
    <row r="44" ht="15" customHeight="1">
      <c r="B44" s="63" t="inlineStr">
        <is>
          <t>3. Executive Dashboard: KPIs including weight, FTP, FTP/kg, VO2, 5km, bench, squat, compliance, sleep, HRV, recovery.</t>
        </is>
      </c>
    </row>
    <row r="45" ht="15" customHeight="1">
      <c r="B45" s="63" t="inlineStr">
        <is>
          <t>4. 24 Week Roadmap: one row per week with phase, weight target, FTP target, strength strategy, endurance strategy, recovery guidance.</t>
        </is>
      </c>
    </row>
    <row r="46" ht="15" customHeight="1">
      <c r="B46" s="63" t="inlineStr">
        <is>
          <t>5. Daily Plan: 168 rows, one per day from 2026-06-22, with strength focus, workout, endurance/HIIT, intensity, mobility, mindfulness, travel alternative, coach brief, completion/RPE/notes.</t>
        </is>
      </c>
    </row>
    <row r="47" ht="15" customHeight="1">
      <c r="B47" s="63" t="inlineStr">
        <is>
          <t>6. Workout Briefs: detailed objectives, adaptation target, main work, overload strategy, RPE, travel alternatives, no-gym alternatives, coaching notes.</t>
        </is>
      </c>
    </row>
    <row r="48" ht="15" customHeight="1">
      <c r="B48" s="63" t="inlineStr">
        <is>
          <t>7. Strength Progression: weekly wave strategy for core lifts and high-volume hypertrophy.</t>
        </is>
      </c>
    </row>
    <row r="49" ht="15" customHeight="1">
      <c r="B49" s="63" t="inlineStr">
        <is>
          <t>8. Cycling 80-20: Zone 2, VO2, Threshold, Long Ride; include power targets based on FTP 215.</t>
        </is>
      </c>
    </row>
    <row r="50" ht="15" customHeight="1">
      <c r="B50" s="63" t="inlineStr">
        <is>
          <t>9. Running 80-20: Easy, Speed, Long, Tempo; include progression and injury-risk guidance.</t>
        </is>
      </c>
    </row>
    <row r="51" ht="15" customHeight="1">
      <c r="B51" s="63" t="inlineStr">
        <is>
          <t>10. Hybrid System: carries, kettlebells, conditioning circuits, hybrid simulation; no rower.</t>
        </is>
      </c>
    </row>
    <row r="52" ht="15" customHeight="1">
      <c r="B52" s="63" t="inlineStr">
        <is>
          <t>11. Travel Playbook: full gym, hotel gym, no gym, fatigue substitutions.</t>
        </is>
      </c>
    </row>
    <row r="53" ht="15" customHeight="1">
      <c r="B53" s="63" t="inlineStr">
        <is>
          <t>12. Exercise Library: exercise, purpose, gym/hotel/no-gym equivalents, progression rule.</t>
        </is>
      </c>
    </row>
    <row r="54" ht="15" customHeight="1">
      <c r="B54" s="63" t="inlineStr">
        <is>
          <t>13. Daily Log: editable training log with dropdowns for Completed Yes/No/Partial/Travel Alt and RPE 1-10.</t>
        </is>
      </c>
    </row>
    <row r="55" ht="15" customHeight="1">
      <c r="B55" s="63" t="inlineStr">
        <is>
          <t>14. Weekly Coach Review: weekly KPI and adjustment template.</t>
        </is>
      </c>
    </row>
    <row r="56" ht="15" customHeight="1">
      <c r="B56" s="63" t="inlineStr">
        <is>
          <t>15. Claude Code Prompt: include this prompt.</t>
        </is>
      </c>
    </row>
    <row r="57" ht="15" customHeight="1">
      <c r="B57" s="63" t="inlineStr"/>
    </row>
    <row r="58" ht="15" customHeight="1">
      <c r="B58" s="64" t="inlineStr">
        <is>
          <t>## Styling and Functionality</t>
        </is>
      </c>
    </row>
    <row r="59" ht="15" customHeight="1">
      <c r="B59" s="63" t="inlineStr">
        <is>
          <t>- Add formulas for FTP/kg and target progressions where practical.</t>
        </is>
      </c>
    </row>
    <row r="60" ht="15" customHeight="1">
      <c r="B60" s="63" t="inlineStr">
        <is>
          <t>- Use conditional formatting for intensity, compliance, and recovery.</t>
        </is>
      </c>
    </row>
    <row r="61" ht="15" customHeight="1">
      <c r="B61" s="63" t="inlineStr">
        <is>
          <t>- Freeze headers.</t>
        </is>
      </c>
    </row>
    <row r="62" ht="15" customHeight="1">
      <c r="B62" s="63" t="inlineStr">
        <is>
          <t>- Wrap text.</t>
        </is>
      </c>
    </row>
    <row r="63" ht="15" customHeight="1">
      <c r="B63" s="63" t="inlineStr">
        <is>
          <t>- Use sensible widths.</t>
        </is>
      </c>
    </row>
    <row r="64" ht="15" customHeight="1">
      <c r="B64" s="63" t="inlineStr">
        <is>
          <t>- Make the layout iPad-friendly.</t>
        </is>
      </c>
    </row>
    <row r="65" ht="15" customHeight="1">
      <c r="B65" s="63" t="inlineStr">
        <is>
          <t>- Keep it clean, coach-like, and practical.</t>
        </is>
      </c>
    </row>
    <row r="66" ht="15" customHeight="1">
      <c r="B66" s="63" t="inlineStr"/>
    </row>
    <row r="67" ht="15" customHeight="1">
      <c r="B67" s="64" t="inlineStr">
        <is>
          <t>## Scope update (follow-up)</t>
        </is>
      </c>
    </row>
    <row r="68" ht="15" customHeight="1">
      <c r="B68" s="63" t="inlineStr">
        <is>
          <t>- Extended to the full 26-week scope: the six 4-week waves (weeks 1-24) are</t>
        </is>
      </c>
    </row>
    <row r="69" ht="15" customHeight="1">
      <c r="B69" s="63" t="inlineStr">
        <is>
          <t xml:space="preserve">  followed by Week 25 (Taper) and Week 26 (Test &amp; Lock) to sharpen and re-test</t>
        </is>
      </c>
    </row>
    <row r="70" ht="15" customHeight="1">
      <c r="B70" s="63" t="inlineStr">
        <is>
          <t xml:space="preserve">  all KPIs (FTP test, 5km time-trial, bench &amp; squat) and confirm the targets.</t>
        </is>
      </c>
    </row>
    <row r="71" ht="15" customHeight="1">
      <c r="B71" s="63" t="inlineStr">
        <is>
          <t>- Daily Plan and Daily Log now run 182 days; dashboard &amp; coach review extended to 26 weeks.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85 Coaching</dc:creator>
  <dc:title>Project 85 — CEO Athlete System</dc:title>
  <dc:subject>24-Week Hybrid Athlete Program</dc:subject>
  <dcterms:created xsi:type="dcterms:W3CDTF">2026-06-19T20:00:04Z</dcterms:created>
  <dcterms:modified xsi:type="dcterms:W3CDTF">2026-06-19T20:00:04Z</dcterms:modified>
</cp:coreProperties>
</file>